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ctive_Deliveries" sheetId="2" state="visible" r:id="rId4"/>
    <sheet name="Risk_Rules" sheetId="3" state="visible" r:id="rId5"/>
    <sheet name="High_Critical" sheetId="4" state="visible" r:id="rId6"/>
    <sheet name="Low_Medium" sheetId="5" state="visible" r:id="rId7"/>
    <sheet name="Backtest" sheetId="6" state="visible" r:id="rId8"/>
  </sheets>
  <definedNames>
    <definedName function="false" hidden="true" localSheetId="1" name="_xlnm._FilterDatabase" vbProcedure="false">Active_Deliveries!$A$1:$AK$51</definedName>
    <definedName function="false" hidden="true" localSheetId="3" name="_xlnm._FilterDatabase" vbProcedure="false">High_Critical!$A$3:$S$17</definedName>
    <definedName function="false" hidden="true" localSheetId="4" name="_xlnm._FilterDatabase" vbProcedure="false">Low_Medium!$A$3:$S$39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U1" authorId="0">
      <text>
        <r>
          <rPr>
            <sz val="10"/>
            <rFont val="Arial"/>
            <family val="2"/>
          </rPr>
          <t xml:space="preserve">LightGBM model trained on historical Zamato deliveries (minutes from order to delivery).</t>
        </r>
      </text>
    </comment>
    <comment ref="W1" authorId="0">
      <text>
        <r>
          <rPr>
            <sz val="10"/>
            <rFont val="Arial"/>
            <family val="2"/>
          </rPr>
          <t xml:space="preserve">Formula: MIN(cap, weather + traffic + festival + multi-delivery points). Rules in Risk_Rules.</t>
        </r>
      </text>
    </comment>
    <comment ref="Y1" authorId="0">
      <text>
        <r>
          <rPr>
            <sz val="10"/>
            <rFont val="Arial"/>
            <family val="2"/>
          </rPr>
          <t xml:space="preserve">Left blank: this project only scores orders; no alerts or notifications were sent.</t>
        </r>
      </text>
    </comment>
  </commentList>
</comments>
</file>

<file path=xl/sharedStrings.xml><?xml version="1.0" encoding="utf-8"?>
<sst xmlns="http://schemas.openxmlformats.org/spreadsheetml/2006/main" count="1881" uniqueCount="373">
  <si>
    <t xml:space="preserve">Active Deliveries (batch ZC): ETA and Risk Summary</t>
  </si>
  <si>
    <t xml:space="preserve">Model run: 2026-09-26 05:04:15  |  Orders scored: 50</t>
  </si>
  <si>
    <t xml:space="preserve">Risk category</t>
  </si>
  <si>
    <t xml:space="preserve">Orders</t>
  </si>
  <si>
    <t xml:space="preserve">Share</t>
  </si>
  <si>
    <t xml:space="preserve">Avg predicted ETA (min)</t>
  </si>
  <si>
    <t xml:space="preserve">Max predicted ETA (min)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</si>
  <si>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</si>
  <si>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</si>
  <si>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</si>
  <si>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</si>
  <si>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</si>
  <si>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High + Critical (needs attention)</t>
  </si>
  <si>
    <t xml:space="preserve">Label breakdown</t>
  </si>
  <si>
    <t xml:space="preserve">Weather: Clear</t>
  </si>
  <si>
    <t xml:space="preserve">Weather: Moderate</t>
  </si>
  <si>
    <t xml:space="preserve">Weather: Adverse</t>
  </si>
  <si>
    <t xml:space="preserve">Traffic: Smooth</t>
  </si>
  <si>
    <t xml:space="preserve">Traffic: Moderate</t>
  </si>
  <si>
    <t xml:space="preserve">Traffic: Heavy</t>
  </si>
  <si>
    <t xml:space="preserve">Traffic: Severe</t>
  </si>
  <si>
    <t xml:space="preserve">Festival: Normal Day</t>
  </si>
  <si>
    <t xml:space="preserve">Festival: Festival / Event</t>
  </si>
  <si>
    <t xml:space="preserve">ETA model (LightGBM)</t>
  </si>
  <si>
    <t xml:space="preserve">Training rows (historical, valid)</t>
  </si>
  <si>
    <t xml:space="preserve">Historical rows removed (same orders as active batch)</t>
  </si>
  <si>
    <t xml:space="preserve">Hold-out MAE (min)</t>
  </si>
  <si>
    <t xml:space="preserve">Hold-out RMSE (min)</t>
  </si>
  <si>
    <t xml:space="preserve">Hold-out R2</t>
  </si>
  <si>
    <t xml:space="preserve">Baseline MAE: predict the mean (min)</t>
  </si>
  <si>
    <t xml:space="preserve">Backtest MAE on active batch (min)</t>
  </si>
  <si>
    <t xml:space="preserve">Top features (share of total gain)</t>
  </si>
  <si>
    <t xml:space="preserve">Delivery_person_Ratings</t>
  </si>
  <si>
    <t xml:space="preserve">Weather_conditions</t>
  </si>
  <si>
    <t xml:space="preserve">distance_km</t>
  </si>
  <si>
    <t xml:space="preserve">Road_traffic_density</t>
  </si>
  <si>
    <t xml:space="preserve">multiple_deliveries</t>
  </si>
  <si>
    <t xml:space="preserve">Delivery_person_Age</t>
  </si>
  <si>
    <t xml:space="preserve">Vehicle_condition</t>
  </si>
  <si>
    <t xml:space="preserve">order_hour</t>
  </si>
  <si>
    <t xml:space="preserve">Order_ID</t>
  </si>
  <si>
    <t xml:space="preserve">Delivery_person_ID</t>
  </si>
  <si>
    <t xml:space="preserve">Restaurant_latitude</t>
  </si>
  <si>
    <t xml:space="preserve">Restaurant_longitude</t>
  </si>
  <si>
    <t xml:space="preserve">Delivery_location_latitude</t>
  </si>
  <si>
    <t xml:space="preserve">Delivery_location_longitude</t>
  </si>
  <si>
    <t xml:space="preserve">Order_Date</t>
  </si>
  <si>
    <t xml:space="preserve">Time_Ordered</t>
  </si>
  <si>
    <t xml:space="preserve">Time_Order_picked</t>
  </si>
  <si>
    <t xml:space="preserve">Type_of_order</t>
  </si>
  <si>
    <t xml:space="preserve">Type_of_vehicle</t>
  </si>
  <si>
    <t xml:space="preserve">Festival</t>
  </si>
  <si>
    <t xml:space="preserve">City</t>
  </si>
  <si>
    <t xml:space="preserve">Order_Status</t>
  </si>
  <si>
    <t xml:space="preserve">Predicted_ETA_min</t>
  </si>
  <si>
    <t xml:space="preserve">ETA_Updated_At</t>
  </si>
  <si>
    <t xml:space="preserve">Risk_Score</t>
  </si>
  <si>
    <t xml:space="preserve">Risk_Category</t>
  </si>
  <si>
    <t xml:space="preserve">Ops_Alerted</t>
  </si>
  <si>
    <t xml:space="preserve">Driver_Notified</t>
  </si>
  <si>
    <t xml:space="preserve">Customer_Notified</t>
  </si>
  <si>
    <t xml:space="preserve">Weather_Label</t>
  </si>
  <si>
    <t xml:space="preserve">Traffic_Label</t>
  </si>
  <si>
    <t xml:space="preserve">Festival_Label</t>
  </si>
  <si>
    <t xml:space="preserve">Weather_Pts</t>
  </si>
  <si>
    <t xml:space="preserve">Traffic_Pts</t>
  </si>
  <si>
    <t xml:space="preserve">Festival_Pts</t>
  </si>
  <si>
    <t xml:space="preserve">MultiDelivery_Pts</t>
  </si>
  <si>
    <t xml:space="preserve">Risk_Drivers</t>
  </si>
  <si>
    <t xml:space="preserve">Distance_km</t>
  </si>
  <si>
    <t xml:space="preserve">Estimated_Arrival</t>
  </si>
  <si>
    <t xml:space="preserve">ZC-0001</t>
  </si>
  <si>
    <t xml:space="preserve">JAPRES010DEL02</t>
  </si>
  <si>
    <t xml:space="preserve">2026-09-26</t>
  </si>
  <si>
    <t xml:space="preserve">09:00:00</t>
  </si>
  <si>
    <t xml:space="preserve">09:15:00</t>
  </si>
  <si>
    <t xml:space="preserve">Windy</t>
  </si>
  <si>
    <t xml:space="preserve">Drinks</t>
  </si>
  <si>
    <t xml:space="preserve">scooter</t>
  </si>
  <si>
    <t xml:space="preserve">No</t>
  </si>
  <si>
    <t xml:space="preserve">Metropolitian</t>
  </si>
  <si>
    <t xml:space="preserve">Active</t>
  </si>
  <si>
    <t xml:space="preserve">Moderate</t>
  </si>
  <si>
    <t xml:space="preserve">Smooth</t>
  </si>
  <si>
    <t xml:space="preserve">Normal Day</t>
  </si>
  <si>
    <t xml:space="preserve">Weather: Windy</t>
  </si>
  <si>
    <t xml:space="preserve">09:23</t>
  </si>
  <si>
    <t xml:space="preserve">ZC-0002</t>
  </si>
  <si>
    <t xml:space="preserve">BANGRES12DEL02</t>
  </si>
  <si>
    <t xml:space="preserve">09:05:00</t>
  </si>
  <si>
    <t xml:space="preserve">Sunny</t>
  </si>
  <si>
    <t xml:space="preserve">Buffet</t>
  </si>
  <si>
    <t xml:space="preserve">motorcycle</t>
  </si>
  <si>
    <t xml:space="preserve">Clear</t>
  </si>
  <si>
    <t xml:space="preserve">Multiple deliveries: 1</t>
  </si>
  <si>
    <t xml:space="preserve">09:18</t>
  </si>
  <si>
    <t xml:space="preserve">ZC-0003</t>
  </si>
  <si>
    <t xml:space="preserve">MUMRES14DEL01</t>
  </si>
  <si>
    <t xml:space="preserve">Stormy</t>
  </si>
  <si>
    <t xml:space="preserve">Snack</t>
  </si>
  <si>
    <t xml:space="preserve">Urban</t>
  </si>
  <si>
    <t xml:space="preserve">Adverse</t>
  </si>
  <si>
    <t xml:space="preserve">Weather: Stormy</t>
  </si>
  <si>
    <t xml:space="preserve">09:13</t>
  </si>
  <si>
    <t xml:space="preserve">ZC-0004</t>
  </si>
  <si>
    <t xml:space="preserve">BANGRES15DEL01</t>
  </si>
  <si>
    <t xml:space="preserve">10:00:00</t>
  </si>
  <si>
    <t xml:space="preserve">10:15:00</t>
  </si>
  <si>
    <t xml:space="preserve">Weather: Windy; Multiple deliveries: 1</t>
  </si>
  <si>
    <t xml:space="preserve">10:22</t>
  </si>
  <si>
    <t xml:space="preserve">ZC-0005</t>
  </si>
  <si>
    <t xml:space="preserve">MYSRES09DEL02</t>
  </si>
  <si>
    <t xml:space="preserve">10:40:00</t>
  </si>
  <si>
    <t xml:space="preserve">10:45:00</t>
  </si>
  <si>
    <t xml:space="preserve">Weather: Stormy; Multiple deliveries: 1</t>
  </si>
  <si>
    <t xml:space="preserve">11:04</t>
  </si>
  <si>
    <t xml:space="preserve">ZC-0006</t>
  </si>
  <si>
    <t xml:space="preserve">BANGRES17DEL02</t>
  </si>
  <si>
    <t xml:space="preserve">10:50:00</t>
  </si>
  <si>
    <t xml:space="preserve">11:05:00</t>
  </si>
  <si>
    <t xml:space="preserve">11:15</t>
  </si>
  <si>
    <t xml:space="preserve">ZC-0007</t>
  </si>
  <si>
    <t xml:space="preserve">KOCRES01DEL01</t>
  </si>
  <si>
    <t xml:space="preserve">Sandstorms</t>
  </si>
  <si>
    <t xml:space="preserve">Weather: Sandstorms; Multiple deliveries: 1</t>
  </si>
  <si>
    <t xml:space="preserve">11:13</t>
  </si>
  <si>
    <t xml:space="preserve">ZC-0008</t>
  </si>
  <si>
    <t xml:space="preserve">JAPRES13DEL01</t>
  </si>
  <si>
    <t xml:space="preserve">11:25:00</t>
  </si>
  <si>
    <t xml:space="preserve">11:30:00</t>
  </si>
  <si>
    <t xml:space="preserve">Meal</t>
  </si>
  <si>
    <t xml:space="preserve">Heavy</t>
  </si>
  <si>
    <t xml:space="preserve">Weather: Sandstorms; Traffic: High; Multiple deliveries: 1</t>
  </si>
  <si>
    <t xml:space="preserve">11:53</t>
  </si>
  <si>
    <t xml:space="preserve">ZC-0009</t>
  </si>
  <si>
    <t xml:space="preserve">SURRES11DEL01</t>
  </si>
  <si>
    <t xml:space="preserve">12:00:00</t>
  </si>
  <si>
    <t xml:space="preserve">12:05:00</t>
  </si>
  <si>
    <t xml:space="preserve">Cloudy</t>
  </si>
  <si>
    <t xml:space="preserve">Weather: Cloudy; Traffic: High</t>
  </si>
  <si>
    <t xml:space="preserve">12:26</t>
  </si>
  <si>
    <t xml:space="preserve">ZC-0010</t>
  </si>
  <si>
    <t xml:space="preserve">BANGRES010DEL01</t>
  </si>
  <si>
    <t xml:space="preserve">13:30:00</t>
  </si>
  <si>
    <t xml:space="preserve">13:35:00</t>
  </si>
  <si>
    <t xml:space="preserve">Semi-Urban</t>
  </si>
  <si>
    <t xml:space="preserve">Traffic: High; Multiple deliveries: 3</t>
  </si>
  <si>
    <t xml:space="preserve">14:21</t>
  </si>
  <si>
    <t xml:space="preserve">ZC-0011</t>
  </si>
  <si>
    <t xml:space="preserve">INDORES07DEL01</t>
  </si>
  <si>
    <t xml:space="preserve">15:10:00</t>
  </si>
  <si>
    <t xml:space="preserve">15:15:00</t>
  </si>
  <si>
    <t xml:space="preserve">Weather: Cloudy; Traffic: Medium; Multiple deliveries: 1</t>
  </si>
  <si>
    <t xml:space="preserve">15:27</t>
  </si>
  <si>
    <t xml:space="preserve">ZC-0012</t>
  </si>
  <si>
    <t xml:space="preserve">COIMBRES13DEL01</t>
  </si>
  <si>
    <t xml:space="preserve">17:20:00</t>
  </si>
  <si>
    <t xml:space="preserve">17:30:00</t>
  </si>
  <si>
    <t xml:space="preserve">Traffic: Medium; Multiple deliveries: 1</t>
  </si>
  <si>
    <t xml:space="preserve">17:50</t>
  </si>
  <si>
    <t xml:space="preserve">ZC-0013</t>
  </si>
  <si>
    <t xml:space="preserve">JAPRES13DEL03</t>
  </si>
  <si>
    <t xml:space="preserve">17:35:00</t>
  </si>
  <si>
    <t xml:space="preserve">17:40:00</t>
  </si>
  <si>
    <t xml:space="preserve">Weather: Sandstorms; Traffic: Medium; Multiple deliveries: 1</t>
  </si>
  <si>
    <t xml:space="preserve">17:58</t>
  </si>
  <si>
    <t xml:space="preserve">ZC-0014</t>
  </si>
  <si>
    <t xml:space="preserve">COIMBRES09DEL03</t>
  </si>
  <si>
    <t xml:space="preserve">17:50:00</t>
  </si>
  <si>
    <t xml:space="preserve">Fog</t>
  </si>
  <si>
    <t xml:space="preserve">electric_scooter</t>
  </si>
  <si>
    <t xml:space="preserve">Weather: Fog; Traffic: Medium; Multiple deliveries: 1</t>
  </si>
  <si>
    <t xml:space="preserve">17:57</t>
  </si>
  <si>
    <t xml:space="preserve">ZC-0015</t>
  </si>
  <si>
    <t xml:space="preserve">COIMBRES15DEL01</t>
  </si>
  <si>
    <t xml:space="preserve">17:55:00</t>
  </si>
  <si>
    <t xml:space="preserve">Weather: Windy; Traffic: Medium; Multiple deliveries: 1</t>
  </si>
  <si>
    <t xml:space="preserve">18:14</t>
  </si>
  <si>
    <t xml:space="preserve">ZC-0016</t>
  </si>
  <si>
    <t xml:space="preserve">CHENRES19DEL02</t>
  </si>
  <si>
    <t xml:space="preserve">18:00:00</t>
  </si>
  <si>
    <t xml:space="preserve">18:06</t>
  </si>
  <si>
    <t xml:space="preserve">ZC-0017</t>
  </si>
  <si>
    <t xml:space="preserve">BANGRES15DEL02</t>
  </si>
  <si>
    <t xml:space="preserve">18:10:00</t>
  </si>
  <si>
    <t xml:space="preserve">18:25:00</t>
  </si>
  <si>
    <t xml:space="preserve">Traffic: Medium</t>
  </si>
  <si>
    <t xml:space="preserve">18:48</t>
  </si>
  <si>
    <t xml:space="preserve">ZC-0018</t>
  </si>
  <si>
    <t xml:space="preserve">MYSRES11DEL02</t>
  </si>
  <si>
    <t xml:space="preserve">18:20:00</t>
  </si>
  <si>
    <t xml:space="preserve">18:35:00</t>
  </si>
  <si>
    <t xml:space="preserve">18:41</t>
  </si>
  <si>
    <t xml:space="preserve">ZC-0019</t>
  </si>
  <si>
    <t xml:space="preserve">SURRES13DEL03</t>
  </si>
  <si>
    <t xml:space="preserve">Weather: Cloudy; Traffic: Medium</t>
  </si>
  <si>
    <t xml:space="preserve">18:37</t>
  </si>
  <si>
    <t xml:space="preserve">ZC-0020</t>
  </si>
  <si>
    <t xml:space="preserve">LUDHRES08DEL03</t>
  </si>
  <si>
    <t xml:space="preserve">18:30:00</t>
  </si>
  <si>
    <t xml:space="preserve">18:40:00</t>
  </si>
  <si>
    <t xml:space="preserve">18:44</t>
  </si>
  <si>
    <t xml:space="preserve">ZC-0021</t>
  </si>
  <si>
    <t xml:space="preserve">MYSRES08DEL02</t>
  </si>
  <si>
    <t xml:space="preserve">18:45:00</t>
  </si>
  <si>
    <t xml:space="preserve">18:59</t>
  </si>
  <si>
    <t xml:space="preserve">ZC-0022</t>
  </si>
  <si>
    <t xml:space="preserve">MYSRES04DEL01</t>
  </si>
  <si>
    <t xml:space="preserve">18:55:00</t>
  </si>
  <si>
    <t xml:space="preserve">19:05</t>
  </si>
  <si>
    <t xml:space="preserve">ZC-0023</t>
  </si>
  <si>
    <t xml:space="preserve">MUMRES20DEL02</t>
  </si>
  <si>
    <t xml:space="preserve">18:50:00</t>
  </si>
  <si>
    <t xml:space="preserve">Weather: Fog; Traffic: Medium</t>
  </si>
  <si>
    <t xml:space="preserve">ZC-0024</t>
  </si>
  <si>
    <t xml:space="preserve">COIMBRES12DEL02</t>
  </si>
  <si>
    <t xml:space="preserve">00:00:00</t>
  </si>
  <si>
    <t xml:space="preserve">00:15:00</t>
  </si>
  <si>
    <t xml:space="preserve">00:14</t>
  </si>
  <si>
    <t xml:space="preserve">ZC-0025</t>
  </si>
  <si>
    <t xml:space="preserve">PUNERES18DEL02</t>
  </si>
  <si>
    <t xml:space="preserve">00:10:00</t>
  </si>
  <si>
    <t xml:space="preserve">Weather: Cloudy; Multiple deliveries: 1</t>
  </si>
  <si>
    <t xml:space="preserve">00:15</t>
  </si>
  <si>
    <t xml:space="preserve">ZC-0026</t>
  </si>
  <si>
    <t xml:space="preserve">CHENRES19DEL03</t>
  </si>
  <si>
    <t xml:space="preserve">19:10:00</t>
  </si>
  <si>
    <t xml:space="preserve">19:20:00</t>
  </si>
  <si>
    <t xml:space="preserve">Jam</t>
  </si>
  <si>
    <t xml:space="preserve">Severe</t>
  </si>
  <si>
    <t xml:space="preserve">Weather: Cloudy; Traffic: Jam; Multiple deliveries: 1</t>
  </si>
  <si>
    <t xml:space="preserve">19:45</t>
  </si>
  <si>
    <t xml:space="preserve">ZC-0027</t>
  </si>
  <si>
    <t xml:space="preserve">COIMBRES03DEL02</t>
  </si>
  <si>
    <t xml:space="preserve">19:15:00</t>
  </si>
  <si>
    <t xml:space="preserve">19:30:00</t>
  </si>
  <si>
    <t xml:space="preserve">Weather: Windy; Traffic: Jam; Multiple deliveries: 1</t>
  </si>
  <si>
    <t xml:space="preserve">19:34</t>
  </si>
  <si>
    <t xml:space="preserve">ZC-0028</t>
  </si>
  <si>
    <t xml:space="preserve">AGRRES04DEL02</t>
  </si>
  <si>
    <t xml:space="preserve">19:25:00</t>
  </si>
  <si>
    <t xml:space="preserve">Traffic: Jam; Multiple deliveries: 1</t>
  </si>
  <si>
    <t xml:space="preserve">19:33</t>
  </si>
  <si>
    <t xml:space="preserve">ZC-0029</t>
  </si>
  <si>
    <t xml:space="preserve">RANCHIRES18DEL01</t>
  </si>
  <si>
    <t xml:space="preserve">19:55:00</t>
  </si>
  <si>
    <t xml:space="preserve">20:00:00</t>
  </si>
  <si>
    <t xml:space="preserve">Weather: Sandstorms; Traffic: Jam; Multiple deliveries: 1</t>
  </si>
  <si>
    <t xml:space="preserve">20:27</t>
  </si>
  <si>
    <t xml:space="preserve">ZC-0030</t>
  </si>
  <si>
    <t xml:space="preserve">COIMBRES01DEL02</t>
  </si>
  <si>
    <t xml:space="preserve">20:15:00</t>
  </si>
  <si>
    <t xml:space="preserve">Weather: Windy; Traffic: Jam</t>
  </si>
  <si>
    <t xml:space="preserve">20:21</t>
  </si>
  <si>
    <t xml:space="preserve">ZC-0031</t>
  </si>
  <si>
    <t xml:space="preserve">RANCHIRES08DEL01</t>
  </si>
  <si>
    <t xml:space="preserve">Weather: Fog; Traffic: Jam</t>
  </si>
  <si>
    <t xml:space="preserve">20:40</t>
  </si>
  <si>
    <t xml:space="preserve">ZC-0032</t>
  </si>
  <si>
    <t xml:space="preserve">SURRES03DEL03</t>
  </si>
  <si>
    <t xml:space="preserve">20:20:00</t>
  </si>
  <si>
    <t xml:space="preserve">20:35:00</t>
  </si>
  <si>
    <t xml:space="preserve">Weather: Sandstorms; Traffic: Jam</t>
  </si>
  <si>
    <t xml:space="preserve">20:57</t>
  </si>
  <si>
    <t xml:space="preserve">ZC-0033</t>
  </si>
  <si>
    <t xml:space="preserve">MYSRES13DEL01</t>
  </si>
  <si>
    <t xml:space="preserve">20:40:00</t>
  </si>
  <si>
    <t xml:space="preserve">Weather: Stormy; Traffic: Jam</t>
  </si>
  <si>
    <t xml:space="preserve">20:55</t>
  </si>
  <si>
    <t xml:space="preserve">ZC-0034</t>
  </si>
  <si>
    <t xml:space="preserve">KOLRES12DEL01</t>
  </si>
  <si>
    <t xml:space="preserve">20:45:00</t>
  </si>
  <si>
    <t xml:space="preserve">Weather: Stormy; Traffic: Jam; Multiple deliveries: 1</t>
  </si>
  <si>
    <t xml:space="preserve">21:02</t>
  </si>
  <si>
    <t xml:space="preserve">ZC-0035</t>
  </si>
  <si>
    <t xml:space="preserve">21:00:00</t>
  </si>
  <si>
    <t xml:space="preserve">21:21</t>
  </si>
  <si>
    <t xml:space="preserve">ZC-0036</t>
  </si>
  <si>
    <t xml:space="preserve">KOLRES17DEL03</t>
  </si>
  <si>
    <t xml:space="preserve">20:55:00</t>
  </si>
  <si>
    <t xml:space="preserve">21:22</t>
  </si>
  <si>
    <t xml:space="preserve">ZC-0037</t>
  </si>
  <si>
    <t xml:space="preserve">JAPRES09DEL03</t>
  </si>
  <si>
    <t xml:space="preserve">21:05:00</t>
  </si>
  <si>
    <t xml:space="preserve">ZC-0038</t>
  </si>
  <si>
    <t xml:space="preserve">MUMRES05DEL02</t>
  </si>
  <si>
    <t xml:space="preserve">21:15:00</t>
  </si>
  <si>
    <t xml:space="preserve">21:30:00</t>
  </si>
  <si>
    <t xml:space="preserve">21:44</t>
  </si>
  <si>
    <t xml:space="preserve">ZC-0039</t>
  </si>
  <si>
    <t xml:space="preserve">21:25:00</t>
  </si>
  <si>
    <t xml:space="preserve">21:35:00</t>
  </si>
  <si>
    <t xml:space="preserve">22:02</t>
  </si>
  <si>
    <t xml:space="preserve">ZC-0040</t>
  </si>
  <si>
    <t xml:space="preserve">VADRES20DEL01</t>
  </si>
  <si>
    <t xml:space="preserve">21:40:00</t>
  </si>
  <si>
    <t xml:space="preserve">Weather: Fog; Traffic: Jam; Multiple deliveries: 1</t>
  </si>
  <si>
    <t xml:space="preserve">22:14</t>
  </si>
  <si>
    <t xml:space="preserve">ZC-0041</t>
  </si>
  <si>
    <t xml:space="preserve">COIMBRES19DEL03</t>
  </si>
  <si>
    <t xml:space="preserve">21:50:00</t>
  </si>
  <si>
    <t xml:space="preserve">22:06</t>
  </si>
  <si>
    <t xml:space="preserve">ZC-0042</t>
  </si>
  <si>
    <t xml:space="preserve">BANGRES17DEL03</t>
  </si>
  <si>
    <t xml:space="preserve">22:10:00</t>
  </si>
  <si>
    <t xml:space="preserve">22:15:00</t>
  </si>
  <si>
    <t xml:space="preserve">22:33</t>
  </si>
  <si>
    <t xml:space="preserve">ZC-0043</t>
  </si>
  <si>
    <t xml:space="preserve">BANGRES19DEL02</t>
  </si>
  <si>
    <t xml:space="preserve">22:40:00</t>
  </si>
  <si>
    <t xml:space="preserve">22:55:00</t>
  </si>
  <si>
    <t xml:space="preserve">None</t>
  </si>
  <si>
    <t xml:space="preserve">22:58</t>
  </si>
  <si>
    <t xml:space="preserve">ZC-0044</t>
  </si>
  <si>
    <t xml:space="preserve">CHENRES18DEL03</t>
  </si>
  <si>
    <t xml:space="preserve">22:50:00</t>
  </si>
  <si>
    <t xml:space="preserve">23:05:00</t>
  </si>
  <si>
    <t xml:space="preserve">23:05</t>
  </si>
  <si>
    <t xml:space="preserve">ZC-0045</t>
  </si>
  <si>
    <t xml:space="preserve">LUDHRES11DEL01</t>
  </si>
  <si>
    <t xml:space="preserve">23:00:00</t>
  </si>
  <si>
    <t xml:space="preserve">23:31</t>
  </si>
  <si>
    <t xml:space="preserve">ZC-0046</t>
  </si>
  <si>
    <t xml:space="preserve">BANGRES010DEL02</t>
  </si>
  <si>
    <t xml:space="preserve">23:09</t>
  </si>
  <si>
    <t xml:space="preserve">ZC-0047</t>
  </si>
  <si>
    <t xml:space="preserve">CHENRES12DEL01</t>
  </si>
  <si>
    <t xml:space="preserve">Weather: Fog; Multiple deliveries: 2</t>
  </si>
  <si>
    <t xml:space="preserve">23:40</t>
  </si>
  <si>
    <t xml:space="preserve">ZC-0048</t>
  </si>
  <si>
    <t xml:space="preserve">SURRES01DEL02</t>
  </si>
  <si>
    <t xml:space="preserve">23:35:00</t>
  </si>
  <si>
    <t xml:space="preserve">23:50:00</t>
  </si>
  <si>
    <t xml:space="preserve">23:59</t>
  </si>
  <si>
    <t xml:space="preserve">ZC-0049</t>
  </si>
  <si>
    <t xml:space="preserve">VADRES01DEL03</t>
  </si>
  <si>
    <t xml:space="preserve">23:40:00</t>
  </si>
  <si>
    <t xml:space="preserve">23:55:00</t>
  </si>
  <si>
    <t xml:space="preserve">23:54</t>
  </si>
  <si>
    <t xml:space="preserve">ZC-0050</t>
  </si>
  <si>
    <t xml:space="preserve">SURRES010DEL02</t>
  </si>
  <si>
    <t xml:space="preserve">00:11</t>
  </si>
  <si>
    <t xml:space="preserve">Risk scoring rules (edit blue cells; Active_Deliveries recalculates)</t>
  </si>
  <si>
    <t xml:space="preserve">Source: reverse-engineered from the historical 'Risk Score' column in Capstone_Team1_CleanedData_v1 (matches 40,088 / 40,088 rows).</t>
  </si>
  <si>
    <t xml:space="preserve">Weather conditions</t>
  </si>
  <si>
    <t xml:space="preserve">Value</t>
  </si>
  <si>
    <t xml:space="preserve">Points</t>
  </si>
  <si>
    <t xml:space="preserve">Label</t>
  </si>
  <si>
    <t xml:space="preserve">Road traffic density</t>
  </si>
  <si>
    <t xml:space="preserve">Festival / event</t>
  </si>
  <si>
    <t xml:space="preserve">Yes</t>
  </si>
  <si>
    <t xml:space="preserve">Festival / Event</t>
  </si>
  <si>
    <t xml:space="preserve">Other parameters</t>
  </si>
  <si>
    <t xml:space="preserve">Points per extra delivery (multiple_deliveries)</t>
  </si>
  <si>
    <t xml:space="preserve">Risk score cap</t>
  </si>
  <si>
    <t xml:space="preserve">Risk category thresholds (score &gt;= lower bound)</t>
  </si>
  <si>
    <t xml:space="preserve">Category</t>
  </si>
  <si>
    <t xml:space="preserve">Lower bound</t>
  </si>
  <si>
    <t xml:space="preserve">Historical evidence</t>
  </si>
  <si>
    <t xml:space="preserve">Score 70-100: avg 42-47 min, 57-95% of orders &gt; 40 min</t>
  </si>
  <si>
    <t xml:space="preserve">Score 50-60: avg 30-33 min, 11-19% of orders &gt; 40 min</t>
  </si>
  <si>
    <t xml:space="preserve">Score 30-40: avg 23-27 min, 3-6% of orders &gt; 40 min</t>
  </si>
  <si>
    <t xml:space="preserve">Score 0-20: avg 19-21 min, ~1% of orders &gt; 40 min</t>
  </si>
  <si>
    <t xml:space="preserve">High + Critical risk orders (14 of 50), sorted by risk score then ETA. Values snapshot from the model run.</t>
  </si>
  <si>
    <t xml:space="preserve">Low + Medium risk orders (36 of 50), sorted by risk score then ETA. Values snapshot from the model run.</t>
  </si>
  <si>
    <t xml:space="preserve">Backtest vs. Ground_Truth (actual time taken). Not used for training.</t>
  </si>
  <si>
    <t xml:space="preserve">Actual_Time_taken_min</t>
  </si>
  <si>
    <t xml:space="preserve">Error_min</t>
  </si>
  <si>
    <t xml:space="preserve">Abs_Error_min</t>
  </si>
  <si>
    <t xml:space="preserve">MAE (min)</t>
  </si>
  <si>
    <t xml:space="preserve">RMSE (min)</t>
  </si>
  <si>
    <t xml:space="preserve">Mean error / bias (min)</t>
  </si>
  <si>
    <t xml:space="preserve">Orders within 5 min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</si>
</sst>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"/>
    <numFmt numFmtId="169" formatCode="yyyy\-mm\-dd\ hh:mm:ss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COUNTIF(Active_Deliveries!$X$2:$X$51,A5)</f>
        <v>0</v>
      </c>
      <c r="C5" s="6" t="n">
        <f aca="false">IF($B$9=0,0,B5/$B$9)</f>
        <v>0</v>
      </c>
      <c r="D5" s="7" t="str">
        <f aca="false">IF(B5=0,"-",AVERAGEIF(Active_Deliveries!$X$2:$X$51,A5,Active_Deliveries!$U$2:$U$51))</f>
        <v>-</v>
      </c>
      <c r="E5" s="7" t="str">
        <f aca="false">IF(B5=0,"-",_xlfn.MAXIFS(Active_Deliveries!$U$2:$U$51,Active_Deliveries!$X$2:$X$51,A5))</f>
        <v>-</v>
      </c>
    </row>
    <row r="6" customFormat="false" ht="15" hidden="false" customHeight="false" outlineLevel="0" collapsed="false">
      <c r="A6" s="8" t="s">
        <v>8</v>
      </c>
      <c r="B6" s="5" t="n">
        <f aca="false">COUNTIF(Active_Deliveries!$X$2:$X$51,A6)</f>
        <v>14</v>
      </c>
      <c r="C6" s="6" t="n">
        <f aca="false">IF($B$9=0,0,B6/$B$9)</f>
        <v>0.28</v>
      </c>
      <c r="D6" s="7" t="n">
        <f aca="false">IF(B6=0,"-",AVERAGEIF(Active_Deliveries!$X$2:$X$51,A6,Active_Deliveries!$U$2:$U$51))</f>
        <v>32.6857142857143</v>
      </c>
      <c r="E6" s="7" t="n">
        <f aca="false">IF(B6=0,"-",_xlfn.MAXIFS(Active_Deliveries!$U$2:$U$51,Active_Deliveries!$X$2:$X$51,A6))</f>
        <v>51.8</v>
      </c>
    </row>
    <row r="7" customFormat="false" ht="15" hidden="false" customHeight="false" outlineLevel="0" collapsed="false">
      <c r="A7" s="9" t="s">
        <v>9</v>
      </c>
      <c r="B7" s="5" t="n">
        <f aca="false">COUNTIF(Active_Deliveries!$X$2:$X$51,A7)</f>
        <v>22</v>
      </c>
      <c r="C7" s="6" t="n">
        <f aca="false">IF($B$9=0,0,B7/$B$9)</f>
        <v>0.44</v>
      </c>
      <c r="D7" s="7" t="n">
        <f aca="false">IF(B7=0,"-",AVERAGEIF(Active_Deliveries!$X$2:$X$51,A7,Active_Deliveries!$U$2:$U$51))</f>
        <v>21.9863636363636</v>
      </c>
      <c r="E7" s="7" t="n">
        <f aca="false">IF(B7=0,"-",_xlfn.MAXIFS(Active_Deliveries!$U$2:$U$51,Active_Deliveries!$X$2:$X$51,A7))</f>
        <v>40</v>
      </c>
    </row>
    <row r="8" customFormat="false" ht="15" hidden="false" customHeight="false" outlineLevel="0" collapsed="false">
      <c r="A8" s="10" t="s">
        <v>10</v>
      </c>
      <c r="B8" s="5" t="n">
        <f aca="false">COUNTIF(Active_Deliveries!$X$2:$X$51,A8)</f>
        <v>14</v>
      </c>
      <c r="C8" s="6" t="n">
        <f aca="false">IF($B$9=0,0,B8/$B$9)</f>
        <v>0.28</v>
      </c>
      <c r="D8" s="7" t="n">
        <f aca="false">IF(B8=0,"-",AVERAGEIF(Active_Deliveries!$X$2:$X$51,A8,Active_Deliveries!$U$2:$U$51))</f>
        <v>21.8357142857143</v>
      </c>
      <c r="E8" s="7" t="n">
        <f aca="false">IF(B8=0,"-",_xlfn.MAXIFS(Active_Deliveries!$U$2:$U$51,Active_Deliveries!$X$2:$X$51,A8))</f>
        <v>38.2</v>
      </c>
    </row>
    <row r="9" customFormat="false" ht="15" hidden="false" customHeight="false" outlineLevel="0" collapsed="false">
      <c r="A9" s="11" t="s">
        <v>11</v>
      </c>
      <c r="B9" s="11" t="n">
        <f aca="false">SUM(B5:B8)</f>
        <v>50</v>
      </c>
      <c r="C9" s="12" t="n">
        <f aca="false">SUM(C5:C8)</f>
        <v>1</v>
      </c>
      <c r="D9" s="13" t="n">
        <f aca="false">AVERAGE(Active_Deliveries!$U$2:$U$51)</f>
        <v>24.94</v>
      </c>
      <c r="E9" s="13" t="n">
        <f aca="false">MAX(Active_Deliveries!$U$2:$U$51)</f>
        <v>51.8</v>
      </c>
    </row>
    <row r="10" customFormat="false" ht="15" hidden="false" customHeight="false" outlineLevel="0" collapsed="false">
      <c r="A10" s="11" t="s">
        <v>12</v>
      </c>
      <c r="B10" s="11" t="n">
        <f aca="false">B5+B6</f>
        <v>14</v>
      </c>
      <c r="C10" s="12" t="n">
        <f aca="false">IF($B$9=0,0,B10/$B$9)</f>
        <v>0.28</v>
      </c>
      <c r="D10" s="13"/>
      <c r="E10" s="13"/>
    </row>
    <row r="12" customFormat="false" ht="15" hidden="false" customHeight="false" outlineLevel="0" collapsed="false">
      <c r="A12" s="14" t="s">
        <v>13</v>
      </c>
    </row>
    <row r="13" customFormat="false" ht="15" hidden="false" customHeight="false" outlineLevel="0" collapsed="false">
      <c r="A13" s="5" t="s">
        <v>14</v>
      </c>
      <c r="B13" s="5" t="n">
        <f aca="false">COUNTIF(Active_Deliveries!$AB$2:$AB$51,"Clear")</f>
        <v>11</v>
      </c>
    </row>
    <row r="14" customFormat="false" ht="15" hidden="false" customHeight="false" outlineLevel="0" collapsed="false">
      <c r="A14" s="5" t="s">
        <v>15</v>
      </c>
      <c r="B14" s="5" t="n">
        <f aca="false">COUNTIF(Active_Deliveries!$AB$2:$AB$51,"Moderate")</f>
        <v>10</v>
      </c>
    </row>
    <row r="15" customFormat="false" ht="15" hidden="false" customHeight="false" outlineLevel="0" collapsed="false">
      <c r="A15" s="5" t="s">
        <v>16</v>
      </c>
      <c r="B15" s="5" t="n">
        <f aca="false">COUNTIF(Active_Deliveries!$AB$2:$AB$51,"Adverse")</f>
        <v>29</v>
      </c>
    </row>
    <row r="16" customFormat="false" ht="15" hidden="false" customHeight="false" outlineLevel="0" collapsed="false">
      <c r="A16" s="5" t="s">
        <v>17</v>
      </c>
      <c r="B16" s="5" t="n">
        <f aca="false">COUNTIF(Active_Deliveries!$AC$2:$AC$51,"Smooth")</f>
        <v>18</v>
      </c>
    </row>
    <row r="17" customFormat="false" ht="15" hidden="false" customHeight="false" outlineLevel="0" collapsed="false">
      <c r="A17" s="5" t="s">
        <v>18</v>
      </c>
      <c r="B17" s="5" t="n">
        <f aca="false">COUNTIF(Active_Deliveries!$AC$2:$AC$51,"Moderate")</f>
        <v>13</v>
      </c>
    </row>
    <row r="18" customFormat="false" ht="15" hidden="false" customHeight="false" outlineLevel="0" collapsed="false">
      <c r="A18" s="5" t="s">
        <v>19</v>
      </c>
      <c r="B18" s="5" t="n">
        <f aca="false">COUNTIF(Active_Deliveries!$AC$2:$AC$51,"Heavy")</f>
        <v>3</v>
      </c>
    </row>
    <row r="19" customFormat="false" ht="15" hidden="false" customHeight="false" outlineLevel="0" collapsed="false">
      <c r="A19" s="5" t="s">
        <v>20</v>
      </c>
      <c r="B19" s="5" t="n">
        <f aca="false">COUNTIF(Active_Deliveries!$AC$2:$AC$51,"Severe")</f>
        <v>16</v>
      </c>
    </row>
    <row r="20" customFormat="false" ht="15" hidden="false" customHeight="false" outlineLevel="0" collapsed="false">
      <c r="A20" s="5" t="s">
        <v>21</v>
      </c>
      <c r="B20" s="5" t="n">
        <f aca="false">COUNTIF(Active_Deliveries!$AD$2:$AD$51,"Normal Day")</f>
        <v>50</v>
      </c>
    </row>
    <row r="21" customFormat="false" ht="15" hidden="false" customHeight="false" outlineLevel="0" collapsed="false">
      <c r="A21" s="5" t="s">
        <v>22</v>
      </c>
      <c r="B21" s="5" t="n">
        <f aca="false">COUNTIF(Active_Deliveries!$AD$2:$AD$51,"Festival / Event")</f>
        <v>0</v>
      </c>
    </row>
    <row r="23" customFormat="false" ht="15" hidden="false" customHeight="false" outlineLevel="0" collapsed="false">
      <c r="A23" s="14" t="s">
        <v>23</v>
      </c>
    </row>
    <row r="24" customFormat="false" ht="15" hidden="false" customHeight="false" outlineLevel="0" collapsed="false">
      <c r="A24" s="5" t="s">
        <v>24</v>
      </c>
      <c r="B24" s="5" t="n">
        <v>40031</v>
      </c>
    </row>
    <row r="25" customFormat="false" ht="15" hidden="false" customHeight="false" outlineLevel="0" collapsed="false">
      <c r="A25" s="5" t="s">
        <v>25</v>
      </c>
      <c r="B25" s="5" t="n">
        <v>57</v>
      </c>
    </row>
    <row r="26" customFormat="false" ht="15" hidden="false" customHeight="false" outlineLevel="0" collapsed="false">
      <c r="A26" s="5" t="s">
        <v>26</v>
      </c>
      <c r="B26" s="5" t="n">
        <v>3.05</v>
      </c>
    </row>
    <row r="27" customFormat="false" ht="15" hidden="false" customHeight="false" outlineLevel="0" collapsed="false">
      <c r="A27" s="5" t="s">
        <v>27</v>
      </c>
      <c r="B27" s="5" t="n">
        <v>3.8</v>
      </c>
    </row>
    <row r="28" customFormat="false" ht="15" hidden="false" customHeight="false" outlineLevel="0" collapsed="false">
      <c r="A28" s="5" t="s">
        <v>28</v>
      </c>
      <c r="B28" s="5" t="n">
        <v>0.838</v>
      </c>
    </row>
    <row r="29" customFormat="false" ht="15" hidden="false" customHeight="false" outlineLevel="0" collapsed="false">
      <c r="A29" s="5" t="s">
        <v>29</v>
      </c>
      <c r="B29" s="5" t="n">
        <v>7.66</v>
      </c>
    </row>
    <row r="30" customFormat="false" ht="15" hidden="false" customHeight="false" outlineLevel="0" collapsed="false">
      <c r="A30" s="5" t="s">
        <v>30</v>
      </c>
      <c r="B30" s="15" t="n">
        <f aca="false">Backtest!I3</f>
        <v>3.276</v>
      </c>
    </row>
    <row r="32" customFormat="false" ht="15" hidden="false" customHeight="false" outlineLevel="0" collapsed="false">
      <c r="A32" s="11" t="s">
        <v>31</v>
      </c>
    </row>
    <row r="33" customFormat="false" ht="15" hidden="false" customHeight="false" outlineLevel="0" collapsed="false">
      <c r="A33" s="5" t="s">
        <v>32</v>
      </c>
      <c r="B33" s="6" t="n">
        <v>0.194913424301365</v>
      </c>
    </row>
    <row r="34" customFormat="false" ht="15" hidden="false" customHeight="false" outlineLevel="0" collapsed="false">
      <c r="A34" s="5" t="s">
        <v>33</v>
      </c>
      <c r="B34" s="6" t="n">
        <v>0.155028148178078</v>
      </c>
    </row>
    <row r="35" customFormat="false" ht="15" hidden="false" customHeight="false" outlineLevel="0" collapsed="false">
      <c r="A35" s="5" t="s">
        <v>34</v>
      </c>
      <c r="B35" s="6" t="n">
        <v>0.134894886574508</v>
      </c>
    </row>
    <row r="36" customFormat="false" ht="15" hidden="false" customHeight="false" outlineLevel="0" collapsed="false">
      <c r="A36" s="5" t="s">
        <v>35</v>
      </c>
      <c r="B36" s="6" t="n">
        <v>0.124003609741987</v>
      </c>
    </row>
    <row r="37" customFormat="false" ht="15" hidden="false" customHeight="false" outlineLevel="0" collapsed="false">
      <c r="A37" s="5" t="s">
        <v>36</v>
      </c>
      <c r="B37" s="6" t="n">
        <v>0.110836157883708</v>
      </c>
    </row>
    <row r="38" customFormat="false" ht="15" hidden="false" customHeight="false" outlineLevel="0" collapsed="false">
      <c r="A38" s="5" t="s">
        <v>37</v>
      </c>
      <c r="B38" s="6" t="n">
        <v>0.0920749811070877</v>
      </c>
    </row>
    <row r="39" customFormat="false" ht="15" hidden="false" customHeight="false" outlineLevel="0" collapsed="false">
      <c r="A39" s="5" t="s">
        <v>38</v>
      </c>
      <c r="B39" s="6" t="n">
        <v>0.0818662765027346</v>
      </c>
    </row>
    <row r="40" customFormat="false" ht="15" hidden="false" customHeight="false" outlineLevel="0" collapsed="false">
      <c r="A40" s="5" t="s">
        <v>39</v>
      </c>
      <c r="B40" s="6" t="n">
        <v>0.0705505580475838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1"/>
    <col collapsed="false" customWidth="true" hidden="false" outlineLevel="0" max="4" min="4" style="0" width="25"/>
    <col collapsed="false" customWidth="true" hidden="false" outlineLevel="0" max="5" min="5" style="0" width="21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29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9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19"/>
    <col collapsed="false" customWidth="true" hidden="false" outlineLevel="0" max="15" min="15" style="0" width="15"/>
    <col collapsed="false" customWidth="true" hidden="false" outlineLevel="0" max="16" min="16" style="0" width="18"/>
    <col collapsed="false" customWidth="true" hidden="false" outlineLevel="0" max="17" min="17" style="0" width="21"/>
    <col collapsed="false" customWidth="true" hidden="false" outlineLevel="0" max="18" min="18" style="0" width="10"/>
    <col collapsed="false" customWidth="true" hidden="false" outlineLevel="0" max="19" min="19" style="0" width="15"/>
    <col collapsed="false" customWidth="true" hidden="false" outlineLevel="0" max="20" min="20" style="0" width="14"/>
    <col collapsed="false" customWidth="true" hidden="false" outlineLevel="0" max="21" min="21" style="0" width="19"/>
    <col collapsed="false" customWidth="true" hidden="false" outlineLevel="0" max="22" min="22" style="0" width="21"/>
    <col collapsed="false" customWidth="true" hidden="false" outlineLevel="0" max="24" min="23" style="0" width="34"/>
    <col collapsed="false" customWidth="true" hidden="false" outlineLevel="0" max="25" min="25" style="0" width="13"/>
    <col collapsed="false" customWidth="true" hidden="false" outlineLevel="0" max="26" min="26" style="0" width="17"/>
    <col collapsed="false" customWidth="true" hidden="false" outlineLevel="0" max="27" min="27" style="0" width="19"/>
    <col collapsed="false" customWidth="true" hidden="false" outlineLevel="0" max="29" min="28" style="0" width="15"/>
    <col collapsed="false" customWidth="true" hidden="false" outlineLevel="0" max="30" min="30" style="0" width="16"/>
    <col collapsed="false" customWidth="true" hidden="false" outlineLevel="0" max="33" min="31" style="0" width="34"/>
    <col collapsed="false" customWidth="true" hidden="false" outlineLevel="0" max="34" min="34" style="0" width="23"/>
    <col collapsed="false" customWidth="true" hidden="false" outlineLevel="0" max="35" min="35" style="0" width="34"/>
    <col collapsed="false" customWidth="true" hidden="false" outlineLevel="0" max="36" min="36" style="0" width="13"/>
    <col collapsed="false" customWidth="true" hidden="false" outlineLevel="0" max="37" min="37" style="0" width="19"/>
  </cols>
  <sheetData>
    <row r="1" customFormat="false" ht="31.5" hidden="false" customHeight="true" outlineLevel="0" collapsed="false">
      <c r="A1" s="16" t="s">
        <v>40</v>
      </c>
      <c r="B1" s="16" t="s">
        <v>41</v>
      </c>
      <c r="C1" s="16" t="s">
        <v>37</v>
      </c>
      <c r="D1" s="16" t="s">
        <v>32</v>
      </c>
      <c r="E1" s="16" t="s">
        <v>42</v>
      </c>
      <c r="F1" s="16" t="s">
        <v>43</v>
      </c>
      <c r="G1" s="16" t="s">
        <v>44</v>
      </c>
      <c r="H1" s="16" t="s">
        <v>45</v>
      </c>
      <c r="I1" s="16" t="s">
        <v>46</v>
      </c>
      <c r="J1" s="16" t="s">
        <v>47</v>
      </c>
      <c r="K1" s="16" t="s">
        <v>48</v>
      </c>
      <c r="L1" s="16" t="s">
        <v>33</v>
      </c>
      <c r="M1" s="16" t="s">
        <v>35</v>
      </c>
      <c r="N1" s="16" t="s">
        <v>38</v>
      </c>
      <c r="O1" s="16" t="s">
        <v>49</v>
      </c>
      <c r="P1" s="16" t="s">
        <v>50</v>
      </c>
      <c r="Q1" s="16" t="s">
        <v>36</v>
      </c>
      <c r="R1" s="16" t="s">
        <v>51</v>
      </c>
      <c r="S1" s="16" t="s">
        <v>52</v>
      </c>
      <c r="T1" s="16" t="s">
        <v>53</v>
      </c>
      <c r="U1" s="17" t="s">
        <v>54</v>
      </c>
      <c r="V1" s="17" t="s">
        <v>55</v>
      </c>
      <c r="W1" s="17" t="s">
        <v>56</v>
      </c>
      <c r="X1" s="17" t="s">
        <v>57</v>
      </c>
      <c r="Y1" s="16" t="s">
        <v>58</v>
      </c>
      <c r="Z1" s="16" t="s">
        <v>59</v>
      </c>
      <c r="AA1" s="16" t="s">
        <v>60</v>
      </c>
      <c r="AB1" s="17" t="s">
        <v>61</v>
      </c>
      <c r="AC1" s="17" t="s">
        <v>62</v>
      </c>
      <c r="AD1" s="17" t="s">
        <v>63</v>
      </c>
      <c r="AE1" s="17" t="s">
        <v>64</v>
      </c>
      <c r="AF1" s="17" t="s">
        <v>65</v>
      </c>
      <c r="AG1" s="17" t="s">
        <v>66</v>
      </c>
      <c r="AH1" s="17" t="s">
        <v>67</v>
      </c>
      <c r="AI1" s="17" t="s">
        <v>68</v>
      </c>
      <c r="AJ1" s="17" t="s">
        <v>69</v>
      </c>
      <c r="AK1" s="17" t="s">
        <v>70</v>
      </c>
    </row>
    <row r="2" customFormat="false" ht="15" hidden="false" customHeight="false" outlineLevel="0" collapsed="false">
      <c r="A2" s="18" t="s">
        <v>71</v>
      </c>
      <c r="B2" s="18" t="s">
        <v>72</v>
      </c>
      <c r="C2" s="18" t="n">
        <v>34</v>
      </c>
      <c r="D2" s="18" t="n">
        <v>4.5</v>
      </c>
      <c r="E2" s="18" t="n">
        <v>26.921411</v>
      </c>
      <c r="F2" s="18" t="n">
        <v>75.793604</v>
      </c>
      <c r="G2" s="18" t="n">
        <v>26.941411</v>
      </c>
      <c r="H2" s="18" t="n">
        <v>75.813604</v>
      </c>
      <c r="I2" s="18" t="s">
        <v>73</v>
      </c>
      <c r="J2" s="18" t="s">
        <v>74</v>
      </c>
      <c r="K2" s="18" t="s">
        <v>75</v>
      </c>
      <c r="L2" s="18" t="s">
        <v>76</v>
      </c>
      <c r="M2" s="18" t="s">
        <v>10</v>
      </c>
      <c r="N2" s="18" t="n">
        <v>2</v>
      </c>
      <c r="O2" s="18" t="s">
        <v>77</v>
      </c>
      <c r="P2" s="18" t="s">
        <v>78</v>
      </c>
      <c r="Q2" s="18" t="n">
        <v>0</v>
      </c>
      <c r="R2" s="18" t="s">
        <v>79</v>
      </c>
      <c r="S2" s="18" t="s">
        <v>80</v>
      </c>
      <c r="T2" s="18" t="s">
        <v>81</v>
      </c>
      <c r="U2" s="18" t="n">
        <v>23.8</v>
      </c>
      <c r="V2" s="19" t="n">
        <v>46291.2112847222</v>
      </c>
      <c r="W2" s="20" t="n">
        <f aca="false">MIN(Risk_Rules!$B$27,AE2+AF2+AG2+AH2)</f>
        <v>10</v>
      </c>
      <c r="X2" s="20" t="str">
        <f aca="false">IF(W2&gt;=Risk_Rules!$B$31,"Critical",IF(W2&gt;=Risk_Rules!$B$32,"High",IF(W2&gt;=Risk_Rules!$B$33,"Medium","Low")))</f>
        <v>Low</v>
      </c>
      <c r="Y2" s="18"/>
      <c r="Z2" s="18"/>
      <c r="AA2" s="18"/>
      <c r="AB2" s="18" t="s">
        <v>82</v>
      </c>
      <c r="AC2" s="18" t="s">
        <v>83</v>
      </c>
      <c r="AD2" s="18" t="s">
        <v>84</v>
      </c>
      <c r="AE2" s="18" t="n">
        <f aca="false">INDEX(Risk_Rules!$B$6:$B$11,MATCH(L2,Risk_Rules!$A$6:$A$11,0))</f>
        <v>10</v>
      </c>
      <c r="AF2" s="18" t="n">
        <f aca="false">INDEX(Risk_Rules!$B$15:$B$18,MATCH(M2,Risk_Rules!$A$15:$A$18,0))</f>
        <v>0</v>
      </c>
      <c r="AG2" s="18" t="n">
        <f aca="false">INDEX(Risk_Rules!$B$22:$B$23,MATCH(R2,Risk_Rules!$A$22:$A$23,0))</f>
        <v>0</v>
      </c>
      <c r="AH2" s="18" t="n">
        <f aca="false">Q2*Risk_Rules!$B$26</f>
        <v>0</v>
      </c>
      <c r="AI2" s="18" t="s">
        <v>85</v>
      </c>
      <c r="AJ2" s="18" t="n">
        <v>2.98</v>
      </c>
      <c r="AK2" s="18" t="s">
        <v>86</v>
      </c>
    </row>
    <row r="3" customFormat="false" ht="15" hidden="false" customHeight="false" outlineLevel="0" collapsed="false">
      <c r="A3" s="18" t="s">
        <v>87</v>
      </c>
      <c r="B3" s="18" t="s">
        <v>88</v>
      </c>
      <c r="C3" s="18" t="n">
        <v>29</v>
      </c>
      <c r="D3" s="18" t="n">
        <v>4.8</v>
      </c>
      <c r="E3" s="18" t="n">
        <v>12.939496</v>
      </c>
      <c r="F3" s="18" t="n">
        <v>77.625999</v>
      </c>
      <c r="G3" s="18" t="n">
        <v>12.959496</v>
      </c>
      <c r="H3" s="18" t="n">
        <v>77.645999</v>
      </c>
      <c r="I3" s="18" t="s">
        <v>73</v>
      </c>
      <c r="J3" s="18" t="s">
        <v>74</v>
      </c>
      <c r="K3" s="18" t="s">
        <v>89</v>
      </c>
      <c r="L3" s="18" t="s">
        <v>90</v>
      </c>
      <c r="M3" s="18" t="s">
        <v>10</v>
      </c>
      <c r="N3" s="18" t="n">
        <v>2</v>
      </c>
      <c r="O3" s="18" t="s">
        <v>91</v>
      </c>
      <c r="P3" s="18" t="s">
        <v>92</v>
      </c>
      <c r="Q3" s="18" t="n">
        <v>1</v>
      </c>
      <c r="R3" s="18" t="s">
        <v>79</v>
      </c>
      <c r="S3" s="18" t="s">
        <v>80</v>
      </c>
      <c r="T3" s="18" t="s">
        <v>81</v>
      </c>
      <c r="U3" s="18" t="n">
        <v>18.2</v>
      </c>
      <c r="V3" s="19" t="n">
        <v>46291.2112847222</v>
      </c>
      <c r="W3" s="20" t="n">
        <f aca="false">MIN(Risk_Rules!$B$27,AE3+AF3+AG3+AH3)</f>
        <v>10</v>
      </c>
      <c r="X3" s="20" t="str">
        <f aca="false">IF(W3&gt;=Risk_Rules!$B$31,"Critical",IF(W3&gt;=Risk_Rules!$B$32,"High",IF(W3&gt;=Risk_Rules!$B$33,"Medium","Low")))</f>
        <v>Low</v>
      </c>
      <c r="Y3" s="18"/>
      <c r="Z3" s="18"/>
      <c r="AA3" s="18"/>
      <c r="AB3" s="18" t="s">
        <v>93</v>
      </c>
      <c r="AC3" s="18" t="s">
        <v>83</v>
      </c>
      <c r="AD3" s="18" t="s">
        <v>84</v>
      </c>
      <c r="AE3" s="18" t="n">
        <f aca="false">INDEX(Risk_Rules!$B$6:$B$11,MATCH(L3,Risk_Rules!$A$6:$A$11,0))</f>
        <v>0</v>
      </c>
      <c r="AF3" s="18" t="n">
        <f aca="false">INDEX(Risk_Rules!$B$15:$B$18,MATCH(M3,Risk_Rules!$A$15:$A$18,0))</f>
        <v>0</v>
      </c>
      <c r="AG3" s="18" t="n">
        <f aca="false">INDEX(Risk_Rules!$B$22:$B$23,MATCH(R3,Risk_Rules!$A$22:$A$23,0))</f>
        <v>0</v>
      </c>
      <c r="AH3" s="18" t="n">
        <f aca="false">Q3*Risk_Rules!$B$26</f>
        <v>10</v>
      </c>
      <c r="AI3" s="18" t="s">
        <v>94</v>
      </c>
      <c r="AJ3" s="18" t="n">
        <v>3.11</v>
      </c>
      <c r="AK3" s="18" t="s">
        <v>95</v>
      </c>
    </row>
    <row r="4" customFormat="false" ht="15" hidden="false" customHeight="false" outlineLevel="0" collapsed="false">
      <c r="A4" s="18" t="s">
        <v>96</v>
      </c>
      <c r="B4" s="18" t="s">
        <v>97</v>
      </c>
      <c r="C4" s="18" t="n">
        <v>21</v>
      </c>
      <c r="D4" s="18" t="n">
        <v>4.8</v>
      </c>
      <c r="E4" s="18" t="n">
        <v>19.1813</v>
      </c>
      <c r="F4" s="18" t="n">
        <v>72.836191</v>
      </c>
      <c r="G4" s="18" t="n">
        <v>19.1913</v>
      </c>
      <c r="H4" s="18" t="n">
        <v>72.846191</v>
      </c>
      <c r="I4" s="18" t="s">
        <v>73</v>
      </c>
      <c r="J4" s="18" t="s">
        <v>74</v>
      </c>
      <c r="K4" s="18" t="s">
        <v>75</v>
      </c>
      <c r="L4" s="18" t="s">
        <v>98</v>
      </c>
      <c r="M4" s="18" t="s">
        <v>10</v>
      </c>
      <c r="N4" s="18" t="n">
        <v>1</v>
      </c>
      <c r="O4" s="18" t="s">
        <v>99</v>
      </c>
      <c r="P4" s="18" t="s">
        <v>78</v>
      </c>
      <c r="Q4" s="18" t="n">
        <v>0</v>
      </c>
      <c r="R4" s="18" t="s">
        <v>79</v>
      </c>
      <c r="S4" s="18" t="s">
        <v>100</v>
      </c>
      <c r="T4" s="18" t="s">
        <v>81</v>
      </c>
      <c r="U4" s="18" t="n">
        <v>13.4</v>
      </c>
      <c r="V4" s="19" t="n">
        <v>46291.2112847222</v>
      </c>
      <c r="W4" s="20" t="n">
        <f aca="false">MIN(Risk_Rules!$B$27,AE4+AF4+AG4+AH4)</f>
        <v>20</v>
      </c>
      <c r="X4" s="20" t="str">
        <f aca="false">IF(W4&gt;=Risk_Rules!$B$31,"Critical",IF(W4&gt;=Risk_Rules!$B$32,"High",IF(W4&gt;=Risk_Rules!$B$33,"Medium","Low")))</f>
        <v>Low</v>
      </c>
      <c r="Y4" s="18"/>
      <c r="Z4" s="18"/>
      <c r="AA4" s="18"/>
      <c r="AB4" s="18" t="s">
        <v>101</v>
      </c>
      <c r="AC4" s="18" t="s">
        <v>83</v>
      </c>
      <c r="AD4" s="18" t="s">
        <v>84</v>
      </c>
      <c r="AE4" s="18" t="n">
        <f aca="false">INDEX(Risk_Rules!$B$6:$B$11,MATCH(L4,Risk_Rules!$A$6:$A$11,0))</f>
        <v>20</v>
      </c>
      <c r="AF4" s="18" t="n">
        <f aca="false">INDEX(Risk_Rules!$B$15:$B$18,MATCH(M4,Risk_Rules!$A$15:$A$18,0))</f>
        <v>0</v>
      </c>
      <c r="AG4" s="18" t="n">
        <f aca="false">INDEX(Risk_Rules!$B$22:$B$23,MATCH(R4,Risk_Rules!$A$22:$A$23,0))</f>
        <v>0</v>
      </c>
      <c r="AH4" s="18" t="n">
        <f aca="false">Q4*Risk_Rules!$B$26</f>
        <v>0</v>
      </c>
      <c r="AI4" s="18" t="s">
        <v>102</v>
      </c>
      <c r="AJ4" s="18" t="n">
        <v>1.53</v>
      </c>
      <c r="AK4" s="18" t="s">
        <v>103</v>
      </c>
    </row>
    <row r="5" customFormat="false" ht="15" hidden="false" customHeight="false" outlineLevel="0" collapsed="false">
      <c r="A5" s="18" t="s">
        <v>104</v>
      </c>
      <c r="B5" s="18" t="s">
        <v>105</v>
      </c>
      <c r="C5" s="18" t="n">
        <v>21</v>
      </c>
      <c r="D5" s="18" t="n">
        <v>4.3</v>
      </c>
      <c r="E5" s="18" t="n">
        <v>12.975377</v>
      </c>
      <c r="F5" s="18" t="n">
        <v>77.696664</v>
      </c>
      <c r="G5" s="18" t="n">
        <v>12.985377</v>
      </c>
      <c r="H5" s="18" t="n">
        <v>77.706664</v>
      </c>
      <c r="I5" s="18" t="s">
        <v>73</v>
      </c>
      <c r="J5" s="18" t="s">
        <v>106</v>
      </c>
      <c r="K5" s="18" t="s">
        <v>107</v>
      </c>
      <c r="L5" s="18" t="s">
        <v>76</v>
      </c>
      <c r="M5" s="18" t="s">
        <v>10</v>
      </c>
      <c r="N5" s="18" t="n">
        <v>0</v>
      </c>
      <c r="O5" s="18" t="s">
        <v>99</v>
      </c>
      <c r="P5" s="18" t="s">
        <v>92</v>
      </c>
      <c r="Q5" s="18" t="n">
        <v>1</v>
      </c>
      <c r="R5" s="18" t="s">
        <v>79</v>
      </c>
      <c r="S5" s="18" t="s">
        <v>80</v>
      </c>
      <c r="T5" s="18" t="s">
        <v>81</v>
      </c>
      <c r="U5" s="18" t="n">
        <v>22.1</v>
      </c>
      <c r="V5" s="19" t="n">
        <v>46291.2112847222</v>
      </c>
      <c r="W5" s="20" t="n">
        <f aca="false">MIN(Risk_Rules!$B$27,AE5+AF5+AG5+AH5)</f>
        <v>20</v>
      </c>
      <c r="X5" s="20" t="str">
        <f aca="false">IF(W5&gt;=Risk_Rules!$B$31,"Critical",IF(W5&gt;=Risk_Rules!$B$32,"High",IF(W5&gt;=Risk_Rules!$B$33,"Medium","Low")))</f>
        <v>Low</v>
      </c>
      <c r="Y5" s="18"/>
      <c r="Z5" s="18"/>
      <c r="AA5" s="18"/>
      <c r="AB5" s="18" t="s">
        <v>82</v>
      </c>
      <c r="AC5" s="18" t="s">
        <v>83</v>
      </c>
      <c r="AD5" s="18" t="s">
        <v>84</v>
      </c>
      <c r="AE5" s="18" t="n">
        <f aca="false">INDEX(Risk_Rules!$B$6:$B$11,MATCH(L5,Risk_Rules!$A$6:$A$11,0))</f>
        <v>10</v>
      </c>
      <c r="AF5" s="18" t="n">
        <f aca="false">INDEX(Risk_Rules!$B$15:$B$18,MATCH(M5,Risk_Rules!$A$15:$A$18,0))</f>
        <v>0</v>
      </c>
      <c r="AG5" s="18" t="n">
        <f aca="false">INDEX(Risk_Rules!$B$22:$B$23,MATCH(R5,Risk_Rules!$A$22:$A$23,0))</f>
        <v>0</v>
      </c>
      <c r="AH5" s="18" t="n">
        <f aca="false">Q5*Risk_Rules!$B$26</f>
        <v>10</v>
      </c>
      <c r="AI5" s="18" t="s">
        <v>108</v>
      </c>
      <c r="AJ5" s="18" t="n">
        <v>1.55</v>
      </c>
      <c r="AK5" s="18" t="s">
        <v>109</v>
      </c>
    </row>
    <row r="6" customFormat="false" ht="15" hidden="false" customHeight="false" outlineLevel="0" collapsed="false">
      <c r="A6" s="18" t="s">
        <v>110</v>
      </c>
      <c r="B6" s="18" t="s">
        <v>111</v>
      </c>
      <c r="C6" s="18" t="n">
        <v>38</v>
      </c>
      <c r="D6" s="18" t="n">
        <v>4.6</v>
      </c>
      <c r="E6" s="18" t="n">
        <v>12.323194</v>
      </c>
      <c r="F6" s="18" t="n">
        <v>76.630583</v>
      </c>
      <c r="G6" s="18" t="n">
        <v>12.343194</v>
      </c>
      <c r="H6" s="18" t="n">
        <v>76.650583</v>
      </c>
      <c r="I6" s="18" t="s">
        <v>73</v>
      </c>
      <c r="J6" s="18" t="s">
        <v>112</v>
      </c>
      <c r="K6" s="18" t="s">
        <v>113</v>
      </c>
      <c r="L6" s="18" t="s">
        <v>98</v>
      </c>
      <c r="M6" s="18" t="s">
        <v>10</v>
      </c>
      <c r="N6" s="18" t="n">
        <v>1</v>
      </c>
      <c r="O6" s="18" t="s">
        <v>99</v>
      </c>
      <c r="P6" s="18" t="s">
        <v>78</v>
      </c>
      <c r="Q6" s="18" t="n">
        <v>1</v>
      </c>
      <c r="R6" s="18" t="s">
        <v>79</v>
      </c>
      <c r="S6" s="18" t="s">
        <v>80</v>
      </c>
      <c r="T6" s="18" t="s">
        <v>81</v>
      </c>
      <c r="U6" s="18" t="n">
        <v>24.6</v>
      </c>
      <c r="V6" s="19" t="n">
        <v>46291.2112847222</v>
      </c>
      <c r="W6" s="21" t="n">
        <f aca="false">MIN(Risk_Rules!$B$27,AE6+AF6+AG6+AH6)</f>
        <v>30</v>
      </c>
      <c r="X6" s="21" t="str">
        <f aca="false">IF(W6&gt;=Risk_Rules!$B$31,"Critical",IF(W6&gt;=Risk_Rules!$B$32,"High",IF(W6&gt;=Risk_Rules!$B$33,"Medium","Low")))</f>
        <v>Medium</v>
      </c>
      <c r="Y6" s="18"/>
      <c r="Z6" s="18"/>
      <c r="AA6" s="18"/>
      <c r="AB6" s="18" t="s">
        <v>101</v>
      </c>
      <c r="AC6" s="18" t="s">
        <v>83</v>
      </c>
      <c r="AD6" s="18" t="s">
        <v>84</v>
      </c>
      <c r="AE6" s="18" t="n">
        <f aca="false">INDEX(Risk_Rules!$B$6:$B$11,MATCH(L6,Risk_Rules!$A$6:$A$11,0))</f>
        <v>20</v>
      </c>
      <c r="AF6" s="18" t="n">
        <f aca="false">INDEX(Risk_Rules!$B$15:$B$18,MATCH(M6,Risk_Rules!$A$15:$A$18,0))</f>
        <v>0</v>
      </c>
      <c r="AG6" s="18" t="n">
        <f aca="false">INDEX(Risk_Rules!$B$22:$B$23,MATCH(R6,Risk_Rules!$A$22:$A$23,0))</f>
        <v>0</v>
      </c>
      <c r="AH6" s="18" t="n">
        <f aca="false">Q6*Risk_Rules!$B$26</f>
        <v>10</v>
      </c>
      <c r="AI6" s="18" t="s">
        <v>114</v>
      </c>
      <c r="AJ6" s="18" t="n">
        <v>3.11</v>
      </c>
      <c r="AK6" s="18" t="s">
        <v>115</v>
      </c>
    </row>
    <row r="7" customFormat="false" ht="15" hidden="false" customHeight="false" outlineLevel="0" collapsed="false">
      <c r="A7" s="18" t="s">
        <v>116</v>
      </c>
      <c r="B7" s="18" t="s">
        <v>117</v>
      </c>
      <c r="C7" s="18" t="n">
        <v>32</v>
      </c>
      <c r="D7" s="18" t="n">
        <v>4.9</v>
      </c>
      <c r="E7" s="18" t="n">
        <v>12.972532</v>
      </c>
      <c r="F7" s="18" t="n">
        <v>77.608179</v>
      </c>
      <c r="G7" s="18" t="n">
        <v>12.992532</v>
      </c>
      <c r="H7" s="18" t="n">
        <v>77.628179</v>
      </c>
      <c r="I7" s="18" t="s">
        <v>73</v>
      </c>
      <c r="J7" s="18" t="s">
        <v>118</v>
      </c>
      <c r="K7" s="18" t="s">
        <v>119</v>
      </c>
      <c r="L7" s="18" t="s">
        <v>76</v>
      </c>
      <c r="M7" s="18" t="s">
        <v>10</v>
      </c>
      <c r="N7" s="18" t="n">
        <v>1</v>
      </c>
      <c r="O7" s="18" t="s">
        <v>91</v>
      </c>
      <c r="P7" s="18" t="s">
        <v>78</v>
      </c>
      <c r="Q7" s="18" t="n">
        <v>1</v>
      </c>
      <c r="R7" s="18" t="s">
        <v>79</v>
      </c>
      <c r="S7" s="18" t="s">
        <v>80</v>
      </c>
      <c r="T7" s="18" t="s">
        <v>81</v>
      </c>
      <c r="U7" s="18" t="n">
        <v>25.1</v>
      </c>
      <c r="V7" s="19" t="n">
        <v>46291.2112847222</v>
      </c>
      <c r="W7" s="20" t="n">
        <f aca="false">MIN(Risk_Rules!$B$27,AE7+AF7+AG7+AH7)</f>
        <v>20</v>
      </c>
      <c r="X7" s="20" t="str">
        <f aca="false">IF(W7&gt;=Risk_Rules!$B$31,"Critical",IF(W7&gt;=Risk_Rules!$B$32,"High",IF(W7&gt;=Risk_Rules!$B$33,"Medium","Low")))</f>
        <v>Low</v>
      </c>
      <c r="Y7" s="18"/>
      <c r="Z7" s="18"/>
      <c r="AA7" s="18"/>
      <c r="AB7" s="18" t="s">
        <v>82</v>
      </c>
      <c r="AC7" s="18" t="s">
        <v>83</v>
      </c>
      <c r="AD7" s="18" t="s">
        <v>84</v>
      </c>
      <c r="AE7" s="18" t="n">
        <f aca="false">INDEX(Risk_Rules!$B$6:$B$11,MATCH(L7,Risk_Rules!$A$6:$A$11,0))</f>
        <v>10</v>
      </c>
      <c r="AF7" s="18" t="n">
        <f aca="false">INDEX(Risk_Rules!$B$15:$B$18,MATCH(M7,Risk_Rules!$A$15:$A$18,0))</f>
        <v>0</v>
      </c>
      <c r="AG7" s="18" t="n">
        <f aca="false">INDEX(Risk_Rules!$B$22:$B$23,MATCH(R7,Risk_Rules!$A$22:$A$23,0))</f>
        <v>0</v>
      </c>
      <c r="AH7" s="18" t="n">
        <f aca="false">Q7*Risk_Rules!$B$26</f>
        <v>10</v>
      </c>
      <c r="AI7" s="18" t="s">
        <v>108</v>
      </c>
      <c r="AJ7" s="18" t="n">
        <v>3.11</v>
      </c>
      <c r="AK7" s="18" t="s">
        <v>120</v>
      </c>
    </row>
    <row r="8" customFormat="false" ht="15" hidden="false" customHeight="false" outlineLevel="0" collapsed="false">
      <c r="A8" s="18" t="s">
        <v>121</v>
      </c>
      <c r="B8" s="18" t="s">
        <v>122</v>
      </c>
      <c r="C8" s="18" t="n">
        <v>36</v>
      </c>
      <c r="D8" s="18" t="n">
        <v>4.8</v>
      </c>
      <c r="E8" s="18" t="n">
        <v>9.979363</v>
      </c>
      <c r="F8" s="18" t="n">
        <v>76.285001</v>
      </c>
      <c r="G8" s="18" t="n">
        <v>9.989363</v>
      </c>
      <c r="H8" s="18" t="n">
        <v>76.295001</v>
      </c>
      <c r="I8" s="18" t="s">
        <v>73</v>
      </c>
      <c r="J8" s="18" t="s">
        <v>118</v>
      </c>
      <c r="K8" s="18" t="s">
        <v>119</v>
      </c>
      <c r="L8" s="18" t="s">
        <v>123</v>
      </c>
      <c r="M8" s="18" t="s">
        <v>10</v>
      </c>
      <c r="N8" s="18" t="n">
        <v>1</v>
      </c>
      <c r="O8" s="18" t="s">
        <v>91</v>
      </c>
      <c r="P8" s="18" t="s">
        <v>92</v>
      </c>
      <c r="Q8" s="18" t="n">
        <v>1</v>
      </c>
      <c r="R8" s="18" t="s">
        <v>79</v>
      </c>
      <c r="S8" s="18" t="s">
        <v>80</v>
      </c>
      <c r="T8" s="18" t="s">
        <v>81</v>
      </c>
      <c r="U8" s="18" t="n">
        <v>23.8</v>
      </c>
      <c r="V8" s="19" t="n">
        <v>46291.2112847222</v>
      </c>
      <c r="W8" s="21" t="n">
        <f aca="false">MIN(Risk_Rules!$B$27,AE8+AF8+AG8+AH8)</f>
        <v>30</v>
      </c>
      <c r="X8" s="21" t="str">
        <f aca="false">IF(W8&gt;=Risk_Rules!$B$31,"Critical",IF(W8&gt;=Risk_Rules!$B$32,"High",IF(W8&gt;=Risk_Rules!$B$33,"Medium","Low")))</f>
        <v>Medium</v>
      </c>
      <c r="Y8" s="18"/>
      <c r="Z8" s="18"/>
      <c r="AA8" s="18"/>
      <c r="AB8" s="18" t="s">
        <v>101</v>
      </c>
      <c r="AC8" s="18" t="s">
        <v>83</v>
      </c>
      <c r="AD8" s="18" t="s">
        <v>84</v>
      </c>
      <c r="AE8" s="18" t="n">
        <f aca="false">INDEX(Risk_Rules!$B$6:$B$11,MATCH(L8,Risk_Rules!$A$6:$A$11,0))</f>
        <v>20</v>
      </c>
      <c r="AF8" s="18" t="n">
        <f aca="false">INDEX(Risk_Rules!$B$15:$B$18,MATCH(M8,Risk_Rules!$A$15:$A$18,0))</f>
        <v>0</v>
      </c>
      <c r="AG8" s="18" t="n">
        <f aca="false">INDEX(Risk_Rules!$B$22:$B$23,MATCH(R8,Risk_Rules!$A$22:$A$23,0))</f>
        <v>0</v>
      </c>
      <c r="AH8" s="18" t="n">
        <f aca="false">Q8*Risk_Rules!$B$26</f>
        <v>10</v>
      </c>
      <c r="AI8" s="18" t="s">
        <v>124</v>
      </c>
      <c r="AJ8" s="18" t="n">
        <v>1.56</v>
      </c>
      <c r="AK8" s="18" t="s">
        <v>125</v>
      </c>
    </row>
    <row r="9" customFormat="false" ht="15" hidden="false" customHeight="false" outlineLevel="0" collapsed="false">
      <c r="A9" s="18" t="s">
        <v>126</v>
      </c>
      <c r="B9" s="18" t="s">
        <v>127</v>
      </c>
      <c r="C9" s="18" t="n">
        <v>23</v>
      </c>
      <c r="D9" s="18" t="n">
        <v>5</v>
      </c>
      <c r="E9" s="18" t="n">
        <v>26.846156</v>
      </c>
      <c r="F9" s="18" t="n">
        <v>75.8023</v>
      </c>
      <c r="G9" s="18" t="n">
        <v>26.856156</v>
      </c>
      <c r="H9" s="18" t="n">
        <v>75.8123</v>
      </c>
      <c r="I9" s="18" t="s">
        <v>73</v>
      </c>
      <c r="J9" s="18" t="s">
        <v>128</v>
      </c>
      <c r="K9" s="18" t="s">
        <v>129</v>
      </c>
      <c r="L9" s="18" t="s">
        <v>123</v>
      </c>
      <c r="M9" s="18" t="s">
        <v>8</v>
      </c>
      <c r="N9" s="18" t="n">
        <v>0</v>
      </c>
      <c r="O9" s="18" t="s">
        <v>130</v>
      </c>
      <c r="P9" s="18" t="s">
        <v>92</v>
      </c>
      <c r="Q9" s="18" t="n">
        <v>1</v>
      </c>
      <c r="R9" s="18" t="s">
        <v>79</v>
      </c>
      <c r="S9" s="18" t="s">
        <v>80</v>
      </c>
      <c r="T9" s="18" t="s">
        <v>81</v>
      </c>
      <c r="U9" s="18" t="n">
        <v>28.6</v>
      </c>
      <c r="V9" s="19" t="n">
        <v>46291.2112847222</v>
      </c>
      <c r="W9" s="22" t="n">
        <f aca="false">MIN(Risk_Rules!$B$27,AE9+AF9+AG9+AH9)</f>
        <v>50</v>
      </c>
      <c r="X9" s="22" t="str">
        <f aca="false">IF(W9&gt;=Risk_Rules!$B$31,"Critical",IF(W9&gt;=Risk_Rules!$B$32,"High",IF(W9&gt;=Risk_Rules!$B$33,"Medium","Low")))</f>
        <v>High</v>
      </c>
      <c r="Y9" s="18"/>
      <c r="Z9" s="18"/>
      <c r="AA9" s="18"/>
      <c r="AB9" s="18" t="s">
        <v>101</v>
      </c>
      <c r="AC9" s="18" t="s">
        <v>131</v>
      </c>
      <c r="AD9" s="18" t="s">
        <v>84</v>
      </c>
      <c r="AE9" s="18" t="n">
        <f aca="false">INDEX(Risk_Rules!$B$6:$B$11,MATCH(L9,Risk_Rules!$A$6:$A$11,0))</f>
        <v>20</v>
      </c>
      <c r="AF9" s="18" t="n">
        <f aca="false">INDEX(Risk_Rules!$B$15:$B$18,MATCH(M9,Risk_Rules!$A$15:$A$18,0))</f>
        <v>20</v>
      </c>
      <c r="AG9" s="18" t="n">
        <f aca="false">INDEX(Risk_Rules!$B$22:$B$23,MATCH(R9,Risk_Rules!$A$22:$A$23,0))</f>
        <v>0</v>
      </c>
      <c r="AH9" s="18" t="n">
        <f aca="false">Q9*Risk_Rules!$B$26</f>
        <v>10</v>
      </c>
      <c r="AI9" s="18" t="s">
        <v>132</v>
      </c>
      <c r="AJ9" s="18" t="n">
        <v>1.49</v>
      </c>
      <c r="AK9" s="18" t="s">
        <v>133</v>
      </c>
    </row>
    <row r="10" customFormat="false" ht="15" hidden="false" customHeight="false" outlineLevel="0" collapsed="false">
      <c r="A10" s="18" t="s">
        <v>134</v>
      </c>
      <c r="B10" s="18" t="s">
        <v>135</v>
      </c>
      <c r="C10" s="18" t="n">
        <v>25</v>
      </c>
      <c r="D10" s="18" t="n">
        <v>4.8</v>
      </c>
      <c r="E10" s="18" t="n">
        <v>21.157735</v>
      </c>
      <c r="F10" s="18" t="n">
        <v>72.768778</v>
      </c>
      <c r="G10" s="18" t="n">
        <v>21.167735</v>
      </c>
      <c r="H10" s="18" t="n">
        <v>72.778778</v>
      </c>
      <c r="I10" s="18" t="s">
        <v>73</v>
      </c>
      <c r="J10" s="18" t="s">
        <v>136</v>
      </c>
      <c r="K10" s="18" t="s">
        <v>137</v>
      </c>
      <c r="L10" s="18" t="s">
        <v>138</v>
      </c>
      <c r="M10" s="18" t="s">
        <v>8</v>
      </c>
      <c r="N10" s="18" t="n">
        <v>1</v>
      </c>
      <c r="O10" s="18" t="s">
        <v>130</v>
      </c>
      <c r="P10" s="18" t="s">
        <v>78</v>
      </c>
      <c r="Q10" s="18" t="n">
        <v>0</v>
      </c>
      <c r="R10" s="18" t="s">
        <v>79</v>
      </c>
      <c r="S10" s="18" t="s">
        <v>80</v>
      </c>
      <c r="T10" s="18" t="s">
        <v>81</v>
      </c>
      <c r="U10" s="18" t="n">
        <v>26.7</v>
      </c>
      <c r="V10" s="19" t="n">
        <v>46291.2112847222</v>
      </c>
      <c r="W10" s="21" t="n">
        <f aca="false">MIN(Risk_Rules!$B$27,AE10+AF10+AG10+AH10)</f>
        <v>40</v>
      </c>
      <c r="X10" s="21" t="str">
        <f aca="false">IF(W10&gt;=Risk_Rules!$B$31,"Critical",IF(W10&gt;=Risk_Rules!$B$32,"High",IF(W10&gt;=Risk_Rules!$B$33,"Medium","Low")))</f>
        <v>Medium</v>
      </c>
      <c r="Y10" s="18"/>
      <c r="Z10" s="18"/>
      <c r="AA10" s="18"/>
      <c r="AB10" s="18" t="s">
        <v>101</v>
      </c>
      <c r="AC10" s="18" t="s">
        <v>131</v>
      </c>
      <c r="AD10" s="18" t="s">
        <v>84</v>
      </c>
      <c r="AE10" s="18" t="n">
        <f aca="false">INDEX(Risk_Rules!$B$6:$B$11,MATCH(L10,Risk_Rules!$A$6:$A$11,0))</f>
        <v>20</v>
      </c>
      <c r="AF10" s="18" t="n">
        <f aca="false">INDEX(Risk_Rules!$B$15:$B$18,MATCH(M10,Risk_Rules!$A$15:$A$18,0))</f>
        <v>20</v>
      </c>
      <c r="AG10" s="18" t="n">
        <f aca="false">INDEX(Risk_Rules!$B$22:$B$23,MATCH(R10,Risk_Rules!$A$22:$A$23,0))</f>
        <v>0</v>
      </c>
      <c r="AH10" s="18" t="n">
        <f aca="false">Q10*Risk_Rules!$B$26</f>
        <v>0</v>
      </c>
      <c r="AI10" s="18" t="s">
        <v>139</v>
      </c>
      <c r="AJ10" s="18" t="n">
        <v>1.52</v>
      </c>
      <c r="AK10" s="18" t="s">
        <v>140</v>
      </c>
    </row>
    <row r="11" customFormat="false" ht="15" hidden="false" customHeight="false" outlineLevel="0" collapsed="false">
      <c r="A11" s="18" t="s">
        <v>141</v>
      </c>
      <c r="B11" s="18" t="s">
        <v>142</v>
      </c>
      <c r="C11" s="18" t="n">
        <v>27</v>
      </c>
      <c r="D11" s="18" t="n">
        <v>4.1</v>
      </c>
      <c r="E11" s="18" t="n">
        <v>12.933298</v>
      </c>
      <c r="F11" s="18" t="n">
        <v>77.614293</v>
      </c>
      <c r="G11" s="18" t="n">
        <v>12.973298</v>
      </c>
      <c r="H11" s="18" t="n">
        <v>77.654293</v>
      </c>
      <c r="I11" s="18" t="s">
        <v>73</v>
      </c>
      <c r="J11" s="18" t="s">
        <v>143</v>
      </c>
      <c r="K11" s="18" t="s">
        <v>144</v>
      </c>
      <c r="L11" s="18" t="s">
        <v>90</v>
      </c>
      <c r="M11" s="18" t="s">
        <v>8</v>
      </c>
      <c r="N11" s="18" t="n">
        <v>0</v>
      </c>
      <c r="O11" s="18" t="s">
        <v>130</v>
      </c>
      <c r="P11" s="18" t="s">
        <v>92</v>
      </c>
      <c r="Q11" s="18" t="n">
        <v>3</v>
      </c>
      <c r="R11" s="18" t="s">
        <v>79</v>
      </c>
      <c r="S11" s="18" t="s">
        <v>145</v>
      </c>
      <c r="T11" s="18" t="s">
        <v>81</v>
      </c>
      <c r="U11" s="18" t="n">
        <v>51.8</v>
      </c>
      <c r="V11" s="19" t="n">
        <v>46291.2112847222</v>
      </c>
      <c r="W11" s="22" t="n">
        <f aca="false">MIN(Risk_Rules!$B$27,AE11+AF11+AG11+AH11)</f>
        <v>50</v>
      </c>
      <c r="X11" s="22" t="str">
        <f aca="false">IF(W11&gt;=Risk_Rules!$B$31,"Critical",IF(W11&gt;=Risk_Rules!$B$32,"High",IF(W11&gt;=Risk_Rules!$B$33,"Medium","Low")))</f>
        <v>High</v>
      </c>
      <c r="Y11" s="18"/>
      <c r="Z11" s="18"/>
      <c r="AA11" s="18"/>
      <c r="AB11" s="18" t="s">
        <v>93</v>
      </c>
      <c r="AC11" s="18" t="s">
        <v>131</v>
      </c>
      <c r="AD11" s="18" t="s">
        <v>84</v>
      </c>
      <c r="AE11" s="18" t="n">
        <f aca="false">INDEX(Risk_Rules!$B$6:$B$11,MATCH(L11,Risk_Rules!$A$6:$A$11,0))</f>
        <v>0</v>
      </c>
      <c r="AF11" s="18" t="n">
        <f aca="false">INDEX(Risk_Rules!$B$15:$B$18,MATCH(M11,Risk_Rules!$A$15:$A$18,0))</f>
        <v>20</v>
      </c>
      <c r="AG11" s="18" t="n">
        <f aca="false">INDEX(Risk_Rules!$B$22:$B$23,MATCH(R11,Risk_Rules!$A$22:$A$23,0))</f>
        <v>0</v>
      </c>
      <c r="AH11" s="18" t="n">
        <f aca="false">Q11*Risk_Rules!$B$26</f>
        <v>30</v>
      </c>
      <c r="AI11" s="18" t="s">
        <v>146</v>
      </c>
      <c r="AJ11" s="18" t="n">
        <v>6.21</v>
      </c>
      <c r="AK11" s="18" t="s">
        <v>147</v>
      </c>
    </row>
    <row r="12" customFormat="false" ht="15" hidden="false" customHeight="false" outlineLevel="0" collapsed="false">
      <c r="A12" s="18" t="s">
        <v>148</v>
      </c>
      <c r="B12" s="18" t="s">
        <v>149</v>
      </c>
      <c r="C12" s="18" t="n">
        <v>35</v>
      </c>
      <c r="D12" s="18" t="n">
        <v>4.7</v>
      </c>
      <c r="E12" s="18" t="n">
        <v>22.722634</v>
      </c>
      <c r="F12" s="18" t="n">
        <v>75.886959</v>
      </c>
      <c r="G12" s="18" t="n">
        <v>22.762634</v>
      </c>
      <c r="H12" s="18" t="n">
        <v>75.926959</v>
      </c>
      <c r="I12" s="18" t="s">
        <v>73</v>
      </c>
      <c r="J12" s="18" t="s">
        <v>150</v>
      </c>
      <c r="K12" s="18" t="s">
        <v>151</v>
      </c>
      <c r="L12" s="18" t="s">
        <v>138</v>
      </c>
      <c r="M12" s="18" t="s">
        <v>9</v>
      </c>
      <c r="N12" s="18" t="n">
        <v>2</v>
      </c>
      <c r="O12" s="18" t="s">
        <v>130</v>
      </c>
      <c r="P12" s="18" t="s">
        <v>92</v>
      </c>
      <c r="Q12" s="18" t="n">
        <v>1</v>
      </c>
      <c r="R12" s="18" t="s">
        <v>79</v>
      </c>
      <c r="S12" s="18" t="s">
        <v>80</v>
      </c>
      <c r="T12" s="18" t="s">
        <v>81</v>
      </c>
      <c r="U12" s="18" t="n">
        <v>17.4</v>
      </c>
      <c r="V12" s="19" t="n">
        <v>46291.2112847222</v>
      </c>
      <c r="W12" s="21" t="n">
        <f aca="false">MIN(Risk_Rules!$B$27,AE12+AF12+AG12+AH12)</f>
        <v>40</v>
      </c>
      <c r="X12" s="21" t="str">
        <f aca="false">IF(W12&gt;=Risk_Rules!$B$31,"Critical",IF(W12&gt;=Risk_Rules!$B$32,"High",IF(W12&gt;=Risk_Rules!$B$33,"Medium","Low")))</f>
        <v>Medium</v>
      </c>
      <c r="Y12" s="18"/>
      <c r="Z12" s="18"/>
      <c r="AA12" s="18"/>
      <c r="AB12" s="18" t="s">
        <v>101</v>
      </c>
      <c r="AC12" s="18" t="s">
        <v>82</v>
      </c>
      <c r="AD12" s="18" t="s">
        <v>84</v>
      </c>
      <c r="AE12" s="18" t="n">
        <f aca="false">INDEX(Risk_Rules!$B$6:$B$11,MATCH(L12,Risk_Rules!$A$6:$A$11,0))</f>
        <v>20</v>
      </c>
      <c r="AF12" s="18" t="n">
        <f aca="false">INDEX(Risk_Rules!$B$15:$B$18,MATCH(M12,Risk_Rules!$A$15:$A$18,0))</f>
        <v>10</v>
      </c>
      <c r="AG12" s="18" t="n">
        <f aca="false">INDEX(Risk_Rules!$B$22:$B$23,MATCH(R12,Risk_Rules!$A$22:$A$23,0))</f>
        <v>0</v>
      </c>
      <c r="AH12" s="18" t="n">
        <f aca="false">Q12*Risk_Rules!$B$26</f>
        <v>10</v>
      </c>
      <c r="AI12" s="18" t="s">
        <v>152</v>
      </c>
      <c r="AJ12" s="18" t="n">
        <v>6.05</v>
      </c>
      <c r="AK12" s="18" t="s">
        <v>153</v>
      </c>
    </row>
    <row r="13" customFormat="false" ht="15" hidden="false" customHeight="false" outlineLevel="0" collapsed="false">
      <c r="A13" s="18" t="s">
        <v>154</v>
      </c>
      <c r="B13" s="18" t="s">
        <v>155</v>
      </c>
      <c r="C13" s="18" t="n">
        <v>35</v>
      </c>
      <c r="D13" s="18" t="n">
        <v>4.7</v>
      </c>
      <c r="E13" s="18" t="n">
        <v>11.003669</v>
      </c>
      <c r="F13" s="18" t="n">
        <v>76.976494</v>
      </c>
      <c r="G13" s="18" t="n">
        <v>11.073669</v>
      </c>
      <c r="H13" s="18" t="n">
        <v>77.046494</v>
      </c>
      <c r="I13" s="18" t="s">
        <v>73</v>
      </c>
      <c r="J13" s="18" t="s">
        <v>156</v>
      </c>
      <c r="K13" s="18" t="s">
        <v>157</v>
      </c>
      <c r="L13" s="18" t="s">
        <v>90</v>
      </c>
      <c r="M13" s="18" t="s">
        <v>9</v>
      </c>
      <c r="N13" s="18" t="n">
        <v>0</v>
      </c>
      <c r="O13" s="18" t="s">
        <v>130</v>
      </c>
      <c r="P13" s="18" t="s">
        <v>92</v>
      </c>
      <c r="Q13" s="18" t="n">
        <v>1</v>
      </c>
      <c r="R13" s="18" t="s">
        <v>79</v>
      </c>
      <c r="S13" s="18" t="s">
        <v>100</v>
      </c>
      <c r="T13" s="18" t="s">
        <v>81</v>
      </c>
      <c r="U13" s="18" t="n">
        <v>30.4</v>
      </c>
      <c r="V13" s="19" t="n">
        <v>46291.2112847222</v>
      </c>
      <c r="W13" s="20" t="n">
        <f aca="false">MIN(Risk_Rules!$B$27,AE13+AF13+AG13+AH13)</f>
        <v>20</v>
      </c>
      <c r="X13" s="20" t="str">
        <f aca="false">IF(W13&gt;=Risk_Rules!$B$31,"Critical",IF(W13&gt;=Risk_Rules!$B$32,"High",IF(W13&gt;=Risk_Rules!$B$33,"Medium","Low")))</f>
        <v>Low</v>
      </c>
      <c r="Y13" s="18"/>
      <c r="Z13" s="18"/>
      <c r="AA13" s="18"/>
      <c r="AB13" s="18" t="s">
        <v>93</v>
      </c>
      <c r="AC13" s="18" t="s">
        <v>82</v>
      </c>
      <c r="AD13" s="18" t="s">
        <v>84</v>
      </c>
      <c r="AE13" s="18" t="n">
        <f aca="false">INDEX(Risk_Rules!$B$6:$B$11,MATCH(L13,Risk_Rules!$A$6:$A$11,0))</f>
        <v>0</v>
      </c>
      <c r="AF13" s="18" t="n">
        <f aca="false">INDEX(Risk_Rules!$B$15:$B$18,MATCH(M13,Risk_Rules!$A$15:$A$18,0))</f>
        <v>10</v>
      </c>
      <c r="AG13" s="18" t="n">
        <f aca="false">INDEX(Risk_Rules!$B$22:$B$23,MATCH(R13,Risk_Rules!$A$22:$A$23,0))</f>
        <v>0</v>
      </c>
      <c r="AH13" s="18" t="n">
        <f aca="false">Q13*Risk_Rules!$B$26</f>
        <v>10</v>
      </c>
      <c r="AI13" s="18" t="s">
        <v>158</v>
      </c>
      <c r="AJ13" s="18" t="n">
        <v>10.91</v>
      </c>
      <c r="AK13" s="18" t="s">
        <v>159</v>
      </c>
    </row>
    <row r="14" customFormat="false" ht="15" hidden="false" customHeight="false" outlineLevel="0" collapsed="false">
      <c r="A14" s="18" t="s">
        <v>160</v>
      </c>
      <c r="B14" s="18" t="s">
        <v>161</v>
      </c>
      <c r="C14" s="18" t="n">
        <v>25</v>
      </c>
      <c r="D14" s="18" t="n">
        <v>4.9</v>
      </c>
      <c r="E14" s="18" t="n">
        <v>26.846156</v>
      </c>
      <c r="F14" s="18" t="n">
        <v>75.8023</v>
      </c>
      <c r="G14" s="18" t="n">
        <v>26.986156</v>
      </c>
      <c r="H14" s="18" t="n">
        <v>75.9423</v>
      </c>
      <c r="I14" s="18" t="s">
        <v>73</v>
      </c>
      <c r="J14" s="18" t="s">
        <v>162</v>
      </c>
      <c r="K14" s="18" t="s">
        <v>163</v>
      </c>
      <c r="L14" s="18" t="s">
        <v>123</v>
      </c>
      <c r="M14" s="18" t="s">
        <v>9</v>
      </c>
      <c r="N14" s="18" t="n">
        <v>2</v>
      </c>
      <c r="O14" s="18" t="s">
        <v>99</v>
      </c>
      <c r="P14" s="18" t="s">
        <v>92</v>
      </c>
      <c r="Q14" s="18" t="n">
        <v>1</v>
      </c>
      <c r="R14" s="18" t="s">
        <v>79</v>
      </c>
      <c r="S14" s="18" t="s">
        <v>80</v>
      </c>
      <c r="T14" s="18" t="s">
        <v>81</v>
      </c>
      <c r="U14" s="18" t="n">
        <v>23</v>
      </c>
      <c r="V14" s="19" t="n">
        <v>46291.2112847222</v>
      </c>
      <c r="W14" s="21" t="n">
        <f aca="false">MIN(Risk_Rules!$B$27,AE14+AF14+AG14+AH14)</f>
        <v>40</v>
      </c>
      <c r="X14" s="21" t="str">
        <f aca="false">IF(W14&gt;=Risk_Rules!$B$31,"Critical",IF(W14&gt;=Risk_Rules!$B$32,"High",IF(W14&gt;=Risk_Rules!$B$33,"Medium","Low")))</f>
        <v>Medium</v>
      </c>
      <c r="Y14" s="18"/>
      <c r="Z14" s="18"/>
      <c r="AA14" s="18"/>
      <c r="AB14" s="18" t="s">
        <v>101</v>
      </c>
      <c r="AC14" s="18" t="s">
        <v>82</v>
      </c>
      <c r="AD14" s="18" t="s">
        <v>84</v>
      </c>
      <c r="AE14" s="18" t="n">
        <f aca="false">INDEX(Risk_Rules!$B$6:$B$11,MATCH(L14,Risk_Rules!$A$6:$A$11,0))</f>
        <v>20</v>
      </c>
      <c r="AF14" s="18" t="n">
        <f aca="false">INDEX(Risk_Rules!$B$15:$B$18,MATCH(M14,Risk_Rules!$A$15:$A$18,0))</f>
        <v>10</v>
      </c>
      <c r="AG14" s="18" t="n">
        <f aca="false">INDEX(Risk_Rules!$B$22:$B$23,MATCH(R14,Risk_Rules!$A$22:$A$23,0))</f>
        <v>0</v>
      </c>
      <c r="AH14" s="18" t="n">
        <f aca="false">Q14*Risk_Rules!$B$26</f>
        <v>10</v>
      </c>
      <c r="AI14" s="18" t="s">
        <v>164</v>
      </c>
      <c r="AJ14" s="18" t="n">
        <v>20.86</v>
      </c>
      <c r="AK14" s="18" t="s">
        <v>165</v>
      </c>
    </row>
    <row r="15" customFormat="false" ht="15" hidden="false" customHeight="false" outlineLevel="0" collapsed="false">
      <c r="A15" s="18" t="s">
        <v>166</v>
      </c>
      <c r="B15" s="18" t="s">
        <v>167</v>
      </c>
      <c r="C15" s="18" t="n">
        <v>20</v>
      </c>
      <c r="D15" s="18" t="n">
        <v>4.9</v>
      </c>
      <c r="E15" s="18" t="n">
        <v>11.008638</v>
      </c>
      <c r="F15" s="18" t="n">
        <v>76.984311</v>
      </c>
      <c r="G15" s="18" t="n">
        <v>11.068638</v>
      </c>
      <c r="H15" s="18" t="n">
        <v>77.044311</v>
      </c>
      <c r="I15" s="18" t="s">
        <v>73</v>
      </c>
      <c r="J15" s="18" t="s">
        <v>163</v>
      </c>
      <c r="K15" s="18" t="s">
        <v>168</v>
      </c>
      <c r="L15" s="18" t="s">
        <v>169</v>
      </c>
      <c r="M15" s="18" t="s">
        <v>9</v>
      </c>
      <c r="N15" s="18" t="n">
        <v>2</v>
      </c>
      <c r="O15" s="18" t="s">
        <v>77</v>
      </c>
      <c r="P15" s="18" t="s">
        <v>170</v>
      </c>
      <c r="Q15" s="18" t="n">
        <v>1</v>
      </c>
      <c r="R15" s="18" t="s">
        <v>79</v>
      </c>
      <c r="S15" s="18" t="s">
        <v>80</v>
      </c>
      <c r="T15" s="18" t="s">
        <v>81</v>
      </c>
      <c r="U15" s="18" t="n">
        <v>17.7</v>
      </c>
      <c r="V15" s="19" t="n">
        <v>46291.2112847222</v>
      </c>
      <c r="W15" s="21" t="n">
        <f aca="false">MIN(Risk_Rules!$B$27,AE15+AF15+AG15+AH15)</f>
        <v>40</v>
      </c>
      <c r="X15" s="21" t="str">
        <f aca="false">IF(W15&gt;=Risk_Rules!$B$31,"Critical",IF(W15&gt;=Risk_Rules!$B$32,"High",IF(W15&gt;=Risk_Rules!$B$33,"Medium","Low")))</f>
        <v>Medium</v>
      </c>
      <c r="Y15" s="18"/>
      <c r="Z15" s="18"/>
      <c r="AA15" s="18"/>
      <c r="AB15" s="18" t="s">
        <v>101</v>
      </c>
      <c r="AC15" s="18" t="s">
        <v>82</v>
      </c>
      <c r="AD15" s="18" t="s">
        <v>84</v>
      </c>
      <c r="AE15" s="18" t="n">
        <f aca="false">INDEX(Risk_Rules!$B$6:$B$11,MATCH(L15,Risk_Rules!$A$6:$A$11,0))</f>
        <v>20</v>
      </c>
      <c r="AF15" s="18" t="n">
        <f aca="false">INDEX(Risk_Rules!$B$15:$B$18,MATCH(M15,Risk_Rules!$A$15:$A$18,0))</f>
        <v>10</v>
      </c>
      <c r="AG15" s="18" t="n">
        <f aca="false">INDEX(Risk_Rules!$B$22:$B$23,MATCH(R15,Risk_Rules!$A$22:$A$23,0))</f>
        <v>0</v>
      </c>
      <c r="AH15" s="18" t="n">
        <f aca="false">Q15*Risk_Rules!$B$26</f>
        <v>10</v>
      </c>
      <c r="AI15" s="18" t="s">
        <v>171</v>
      </c>
      <c r="AJ15" s="18" t="n">
        <v>9.35</v>
      </c>
      <c r="AK15" s="18" t="s">
        <v>172</v>
      </c>
    </row>
    <row r="16" customFormat="false" ht="15" hidden="false" customHeight="false" outlineLevel="0" collapsed="false">
      <c r="A16" s="18" t="s">
        <v>173</v>
      </c>
      <c r="B16" s="18" t="s">
        <v>174</v>
      </c>
      <c r="C16" s="18" t="n">
        <v>33</v>
      </c>
      <c r="D16" s="18" t="n">
        <v>3.7</v>
      </c>
      <c r="E16" s="18" t="n">
        <v>11.006686</v>
      </c>
      <c r="F16" s="18" t="n">
        <v>76.951736</v>
      </c>
      <c r="G16" s="18" t="n">
        <v>11.076686</v>
      </c>
      <c r="H16" s="18" t="n">
        <v>77.021736</v>
      </c>
      <c r="I16" s="18" t="s">
        <v>73</v>
      </c>
      <c r="J16" s="18" t="s">
        <v>163</v>
      </c>
      <c r="K16" s="18" t="s">
        <v>175</v>
      </c>
      <c r="L16" s="18" t="s">
        <v>76</v>
      </c>
      <c r="M16" s="18" t="s">
        <v>9</v>
      </c>
      <c r="N16" s="18" t="n">
        <v>2</v>
      </c>
      <c r="O16" s="18" t="s">
        <v>77</v>
      </c>
      <c r="P16" s="18" t="s">
        <v>170</v>
      </c>
      <c r="Q16" s="18" t="n">
        <v>1</v>
      </c>
      <c r="R16" s="18" t="s">
        <v>79</v>
      </c>
      <c r="S16" s="18" t="s">
        <v>80</v>
      </c>
      <c r="T16" s="18" t="s">
        <v>81</v>
      </c>
      <c r="U16" s="18" t="n">
        <v>34.6</v>
      </c>
      <c r="V16" s="19" t="n">
        <v>46291.2112847222</v>
      </c>
      <c r="W16" s="21" t="n">
        <f aca="false">MIN(Risk_Rules!$B$27,AE16+AF16+AG16+AH16)</f>
        <v>30</v>
      </c>
      <c r="X16" s="21" t="str">
        <f aca="false">IF(W16&gt;=Risk_Rules!$B$31,"Critical",IF(W16&gt;=Risk_Rules!$B$32,"High",IF(W16&gt;=Risk_Rules!$B$33,"Medium","Low")))</f>
        <v>Medium</v>
      </c>
      <c r="Y16" s="18"/>
      <c r="Z16" s="18"/>
      <c r="AA16" s="18"/>
      <c r="AB16" s="18" t="s">
        <v>82</v>
      </c>
      <c r="AC16" s="18" t="s">
        <v>82</v>
      </c>
      <c r="AD16" s="18" t="s">
        <v>84</v>
      </c>
      <c r="AE16" s="18" t="n">
        <f aca="false">INDEX(Risk_Rules!$B$6:$B$11,MATCH(L16,Risk_Rules!$A$6:$A$11,0))</f>
        <v>10</v>
      </c>
      <c r="AF16" s="18" t="n">
        <f aca="false">INDEX(Risk_Rules!$B$15:$B$18,MATCH(M16,Risk_Rules!$A$15:$A$18,0))</f>
        <v>10</v>
      </c>
      <c r="AG16" s="18" t="n">
        <f aca="false">INDEX(Risk_Rules!$B$22:$B$23,MATCH(R16,Risk_Rules!$A$22:$A$23,0))</f>
        <v>0</v>
      </c>
      <c r="AH16" s="18" t="n">
        <f aca="false">Q16*Risk_Rules!$B$26</f>
        <v>10</v>
      </c>
      <c r="AI16" s="18" t="s">
        <v>176</v>
      </c>
      <c r="AJ16" s="18" t="n">
        <v>10.91</v>
      </c>
      <c r="AK16" s="18" t="s">
        <v>177</v>
      </c>
    </row>
    <row r="17" customFormat="false" ht="15" hidden="false" customHeight="false" outlineLevel="0" collapsed="false">
      <c r="A17" s="18" t="s">
        <v>178</v>
      </c>
      <c r="B17" s="18" t="s">
        <v>179</v>
      </c>
      <c r="C17" s="18" t="n">
        <v>24</v>
      </c>
      <c r="D17" s="18" t="n">
        <v>4.6</v>
      </c>
      <c r="E17" s="18" t="n">
        <v>12.986047</v>
      </c>
      <c r="F17" s="18" t="n">
        <v>80.218114</v>
      </c>
      <c r="G17" s="18" t="n">
        <v>13.036047</v>
      </c>
      <c r="H17" s="18" t="n">
        <v>80.268114</v>
      </c>
      <c r="I17" s="18" t="s">
        <v>73</v>
      </c>
      <c r="J17" s="18" t="s">
        <v>168</v>
      </c>
      <c r="K17" s="18" t="s">
        <v>180</v>
      </c>
      <c r="L17" s="18" t="s">
        <v>169</v>
      </c>
      <c r="M17" s="18" t="s">
        <v>9</v>
      </c>
      <c r="N17" s="18" t="n">
        <v>1</v>
      </c>
      <c r="O17" s="18" t="s">
        <v>77</v>
      </c>
      <c r="P17" s="18" t="s">
        <v>78</v>
      </c>
      <c r="Q17" s="18" t="n">
        <v>1</v>
      </c>
      <c r="R17" s="18" t="s">
        <v>79</v>
      </c>
      <c r="S17" s="18" t="s">
        <v>80</v>
      </c>
      <c r="T17" s="18" t="s">
        <v>81</v>
      </c>
      <c r="U17" s="18" t="n">
        <v>16.5</v>
      </c>
      <c r="V17" s="19" t="n">
        <v>46291.2112847222</v>
      </c>
      <c r="W17" s="21" t="n">
        <f aca="false">MIN(Risk_Rules!$B$27,AE17+AF17+AG17+AH17)</f>
        <v>40</v>
      </c>
      <c r="X17" s="21" t="str">
        <f aca="false">IF(W17&gt;=Risk_Rules!$B$31,"Critical",IF(W17&gt;=Risk_Rules!$B$32,"High",IF(W17&gt;=Risk_Rules!$B$33,"Medium","Low")))</f>
        <v>Medium</v>
      </c>
      <c r="Y17" s="18"/>
      <c r="Z17" s="18"/>
      <c r="AA17" s="18"/>
      <c r="AB17" s="18" t="s">
        <v>101</v>
      </c>
      <c r="AC17" s="18" t="s">
        <v>82</v>
      </c>
      <c r="AD17" s="18" t="s">
        <v>84</v>
      </c>
      <c r="AE17" s="18" t="n">
        <f aca="false">INDEX(Risk_Rules!$B$6:$B$11,MATCH(L17,Risk_Rules!$A$6:$A$11,0))</f>
        <v>20</v>
      </c>
      <c r="AF17" s="18" t="n">
        <f aca="false">INDEX(Risk_Rules!$B$15:$B$18,MATCH(M17,Risk_Rules!$A$15:$A$18,0))</f>
        <v>10</v>
      </c>
      <c r="AG17" s="18" t="n">
        <f aca="false">INDEX(Risk_Rules!$B$22:$B$23,MATCH(R17,Risk_Rules!$A$22:$A$23,0))</f>
        <v>0</v>
      </c>
      <c r="AH17" s="18" t="n">
        <f aca="false">Q17*Risk_Rules!$B$26</f>
        <v>10</v>
      </c>
      <c r="AI17" s="18" t="s">
        <v>171</v>
      </c>
      <c r="AJ17" s="18" t="n">
        <v>7.76</v>
      </c>
      <c r="AK17" s="18" t="s">
        <v>181</v>
      </c>
    </row>
    <row r="18" customFormat="false" ht="15" hidden="false" customHeight="false" outlineLevel="0" collapsed="false">
      <c r="A18" s="18" t="s">
        <v>182</v>
      </c>
      <c r="B18" s="18" t="s">
        <v>183</v>
      </c>
      <c r="C18" s="18" t="n">
        <v>31</v>
      </c>
      <c r="D18" s="18" t="n">
        <v>4</v>
      </c>
      <c r="E18" s="18" t="n">
        <v>12.975377</v>
      </c>
      <c r="F18" s="18" t="n">
        <v>77.696664</v>
      </c>
      <c r="G18" s="18" t="n">
        <v>13.105377</v>
      </c>
      <c r="H18" s="18" t="n">
        <v>77.826664</v>
      </c>
      <c r="I18" s="18" t="s">
        <v>73</v>
      </c>
      <c r="J18" s="18" t="s">
        <v>184</v>
      </c>
      <c r="K18" s="18" t="s">
        <v>185</v>
      </c>
      <c r="L18" s="18" t="s">
        <v>90</v>
      </c>
      <c r="M18" s="18" t="s">
        <v>9</v>
      </c>
      <c r="N18" s="18" t="n">
        <v>0</v>
      </c>
      <c r="O18" s="18" t="s">
        <v>77</v>
      </c>
      <c r="P18" s="18" t="s">
        <v>92</v>
      </c>
      <c r="Q18" s="18" t="n">
        <v>0</v>
      </c>
      <c r="R18" s="18" t="s">
        <v>79</v>
      </c>
      <c r="S18" s="18" t="s">
        <v>80</v>
      </c>
      <c r="T18" s="18" t="s">
        <v>81</v>
      </c>
      <c r="U18" s="18" t="n">
        <v>38.2</v>
      </c>
      <c r="V18" s="19" t="n">
        <v>46291.2112847222</v>
      </c>
      <c r="W18" s="20" t="n">
        <f aca="false">MIN(Risk_Rules!$B$27,AE18+AF18+AG18+AH18)</f>
        <v>10</v>
      </c>
      <c r="X18" s="20" t="str">
        <f aca="false">IF(W18&gt;=Risk_Rules!$B$31,"Critical",IF(W18&gt;=Risk_Rules!$B$32,"High",IF(W18&gt;=Risk_Rules!$B$33,"Medium","Low")))</f>
        <v>Low</v>
      </c>
      <c r="Y18" s="18"/>
      <c r="Z18" s="18"/>
      <c r="AA18" s="18"/>
      <c r="AB18" s="18" t="s">
        <v>93</v>
      </c>
      <c r="AC18" s="18" t="s">
        <v>82</v>
      </c>
      <c r="AD18" s="18" t="s">
        <v>84</v>
      </c>
      <c r="AE18" s="18" t="n">
        <f aca="false">INDEX(Risk_Rules!$B$6:$B$11,MATCH(L18,Risk_Rules!$A$6:$A$11,0))</f>
        <v>0</v>
      </c>
      <c r="AF18" s="18" t="n">
        <f aca="false">INDEX(Risk_Rules!$B$15:$B$18,MATCH(M18,Risk_Rules!$A$15:$A$18,0))</f>
        <v>10</v>
      </c>
      <c r="AG18" s="18" t="n">
        <f aca="false">INDEX(Risk_Rules!$B$22:$B$23,MATCH(R18,Risk_Rules!$A$22:$A$23,0))</f>
        <v>0</v>
      </c>
      <c r="AH18" s="18" t="n">
        <f aca="false">Q18*Risk_Rules!$B$26</f>
        <v>0</v>
      </c>
      <c r="AI18" s="18" t="s">
        <v>186</v>
      </c>
      <c r="AJ18" s="18" t="n">
        <v>20.18</v>
      </c>
      <c r="AK18" s="18" t="s">
        <v>187</v>
      </c>
    </row>
    <row r="19" customFormat="false" ht="15" hidden="false" customHeight="false" outlineLevel="0" collapsed="false">
      <c r="A19" s="18" t="s">
        <v>188</v>
      </c>
      <c r="B19" s="18" t="s">
        <v>189</v>
      </c>
      <c r="C19" s="18" t="n">
        <v>24</v>
      </c>
      <c r="D19" s="18" t="n">
        <v>4.5</v>
      </c>
      <c r="E19" s="18" t="n">
        <v>12.323225</v>
      </c>
      <c r="F19" s="18" t="n">
        <v>76.630028</v>
      </c>
      <c r="G19" s="18" t="n">
        <v>12.453225</v>
      </c>
      <c r="H19" s="18" t="n">
        <v>76.760028</v>
      </c>
      <c r="I19" s="18" t="s">
        <v>73</v>
      </c>
      <c r="J19" s="18" t="s">
        <v>190</v>
      </c>
      <c r="K19" s="18" t="s">
        <v>191</v>
      </c>
      <c r="L19" s="18" t="s">
        <v>90</v>
      </c>
      <c r="M19" s="18" t="s">
        <v>9</v>
      </c>
      <c r="N19" s="18" t="n">
        <v>0</v>
      </c>
      <c r="O19" s="18" t="s">
        <v>91</v>
      </c>
      <c r="P19" s="18" t="s">
        <v>92</v>
      </c>
      <c r="Q19" s="18" t="n">
        <v>0</v>
      </c>
      <c r="R19" s="18" t="s">
        <v>79</v>
      </c>
      <c r="S19" s="18" t="s">
        <v>80</v>
      </c>
      <c r="T19" s="18" t="s">
        <v>81</v>
      </c>
      <c r="U19" s="18" t="n">
        <v>21.6</v>
      </c>
      <c r="V19" s="19" t="n">
        <v>46291.2112847222</v>
      </c>
      <c r="W19" s="20" t="n">
        <f aca="false">MIN(Risk_Rules!$B$27,AE19+AF19+AG19+AH19)</f>
        <v>10</v>
      </c>
      <c r="X19" s="20" t="str">
        <f aca="false">IF(W19&gt;=Risk_Rules!$B$31,"Critical",IF(W19&gt;=Risk_Rules!$B$32,"High",IF(W19&gt;=Risk_Rules!$B$33,"Medium","Low")))</f>
        <v>Low</v>
      </c>
      <c r="Y19" s="18"/>
      <c r="Z19" s="18"/>
      <c r="AA19" s="18"/>
      <c r="AB19" s="18" t="s">
        <v>93</v>
      </c>
      <c r="AC19" s="18" t="s">
        <v>82</v>
      </c>
      <c r="AD19" s="18" t="s">
        <v>84</v>
      </c>
      <c r="AE19" s="18" t="n">
        <f aca="false">INDEX(Risk_Rules!$B$6:$B$11,MATCH(L19,Risk_Rules!$A$6:$A$11,0))</f>
        <v>0</v>
      </c>
      <c r="AF19" s="18" t="n">
        <f aca="false">INDEX(Risk_Rules!$B$15:$B$18,MATCH(M19,Risk_Rules!$A$15:$A$18,0))</f>
        <v>10</v>
      </c>
      <c r="AG19" s="18" t="n">
        <f aca="false">INDEX(Risk_Rules!$B$22:$B$23,MATCH(R19,Risk_Rules!$A$22:$A$23,0))</f>
        <v>0</v>
      </c>
      <c r="AH19" s="18" t="n">
        <f aca="false">Q19*Risk_Rules!$B$26</f>
        <v>0</v>
      </c>
      <c r="AI19" s="18" t="s">
        <v>186</v>
      </c>
      <c r="AJ19" s="18" t="n">
        <v>20.21</v>
      </c>
      <c r="AK19" s="18" t="s">
        <v>192</v>
      </c>
    </row>
    <row r="20" customFormat="false" ht="15" hidden="false" customHeight="false" outlineLevel="0" collapsed="false">
      <c r="A20" s="18" t="s">
        <v>193</v>
      </c>
      <c r="B20" s="18" t="s">
        <v>194</v>
      </c>
      <c r="C20" s="18" t="n">
        <v>39</v>
      </c>
      <c r="D20" s="18" t="n">
        <v>4.9</v>
      </c>
      <c r="E20" s="18" t="n">
        <v>21.170096</v>
      </c>
      <c r="F20" s="18" t="n">
        <v>72.789122</v>
      </c>
      <c r="G20" s="18" t="n">
        <v>21.230096</v>
      </c>
      <c r="H20" s="18" t="n">
        <v>72.849122</v>
      </c>
      <c r="I20" s="18" t="s">
        <v>73</v>
      </c>
      <c r="J20" s="18" t="s">
        <v>190</v>
      </c>
      <c r="K20" s="18" t="s">
        <v>191</v>
      </c>
      <c r="L20" s="18" t="s">
        <v>138</v>
      </c>
      <c r="M20" s="18" t="s">
        <v>9</v>
      </c>
      <c r="N20" s="18" t="n">
        <v>1</v>
      </c>
      <c r="O20" s="18" t="s">
        <v>130</v>
      </c>
      <c r="P20" s="18" t="s">
        <v>78</v>
      </c>
      <c r="Q20" s="18" t="n">
        <v>0</v>
      </c>
      <c r="R20" s="18" t="s">
        <v>79</v>
      </c>
      <c r="S20" s="18" t="s">
        <v>80</v>
      </c>
      <c r="T20" s="18" t="s">
        <v>81</v>
      </c>
      <c r="U20" s="18" t="n">
        <v>17.2</v>
      </c>
      <c r="V20" s="19" t="n">
        <v>46291.2112847222</v>
      </c>
      <c r="W20" s="21" t="n">
        <f aca="false">MIN(Risk_Rules!$B$27,AE20+AF20+AG20+AH20)</f>
        <v>30</v>
      </c>
      <c r="X20" s="21" t="str">
        <f aca="false">IF(W20&gt;=Risk_Rules!$B$31,"Critical",IF(W20&gt;=Risk_Rules!$B$32,"High",IF(W20&gt;=Risk_Rules!$B$33,"Medium","Low")))</f>
        <v>Medium</v>
      </c>
      <c r="Y20" s="18"/>
      <c r="Z20" s="18"/>
      <c r="AA20" s="18"/>
      <c r="AB20" s="18" t="s">
        <v>101</v>
      </c>
      <c r="AC20" s="18" t="s">
        <v>82</v>
      </c>
      <c r="AD20" s="18" t="s">
        <v>84</v>
      </c>
      <c r="AE20" s="18" t="n">
        <f aca="false">INDEX(Risk_Rules!$B$6:$B$11,MATCH(L20,Risk_Rules!$A$6:$A$11,0))</f>
        <v>20</v>
      </c>
      <c r="AF20" s="18" t="n">
        <f aca="false">INDEX(Risk_Rules!$B$15:$B$18,MATCH(M20,Risk_Rules!$A$15:$A$18,0))</f>
        <v>10</v>
      </c>
      <c r="AG20" s="18" t="n">
        <f aca="false">INDEX(Risk_Rules!$B$22:$B$23,MATCH(R20,Risk_Rules!$A$22:$A$23,0))</f>
        <v>0</v>
      </c>
      <c r="AH20" s="18" t="n">
        <f aca="false">Q20*Risk_Rules!$B$26</f>
        <v>0</v>
      </c>
      <c r="AI20" s="18" t="s">
        <v>195</v>
      </c>
      <c r="AJ20" s="18" t="n">
        <v>9.12</v>
      </c>
      <c r="AK20" s="18" t="s">
        <v>196</v>
      </c>
    </row>
    <row r="21" customFormat="false" ht="15" hidden="false" customHeight="false" outlineLevel="0" collapsed="false">
      <c r="A21" s="18" t="s">
        <v>197</v>
      </c>
      <c r="B21" s="18" t="s">
        <v>198</v>
      </c>
      <c r="C21" s="18" t="n">
        <v>28</v>
      </c>
      <c r="D21" s="18" t="n">
        <v>4.7</v>
      </c>
      <c r="E21" s="18" t="n">
        <v>30.899992</v>
      </c>
      <c r="F21" s="18" t="n">
        <v>75.831338</v>
      </c>
      <c r="G21" s="18" t="n">
        <v>30.929992</v>
      </c>
      <c r="H21" s="18" t="n">
        <v>75.861338</v>
      </c>
      <c r="I21" s="18" t="s">
        <v>73</v>
      </c>
      <c r="J21" s="18" t="s">
        <v>199</v>
      </c>
      <c r="K21" s="18" t="s">
        <v>200</v>
      </c>
      <c r="L21" s="18" t="s">
        <v>169</v>
      </c>
      <c r="M21" s="18" t="s">
        <v>9</v>
      </c>
      <c r="N21" s="18" t="n">
        <v>2</v>
      </c>
      <c r="O21" s="18" t="s">
        <v>91</v>
      </c>
      <c r="P21" s="18" t="s">
        <v>92</v>
      </c>
      <c r="Q21" s="18" t="n">
        <v>1</v>
      </c>
      <c r="R21" s="18" t="s">
        <v>79</v>
      </c>
      <c r="S21" s="18" t="s">
        <v>100</v>
      </c>
      <c r="T21" s="18" t="s">
        <v>81</v>
      </c>
      <c r="U21" s="18" t="n">
        <v>14.3</v>
      </c>
      <c r="V21" s="19" t="n">
        <v>46291.2112847222</v>
      </c>
      <c r="W21" s="21" t="n">
        <f aca="false">MIN(Risk_Rules!$B$27,AE21+AF21+AG21+AH21)</f>
        <v>40</v>
      </c>
      <c r="X21" s="21" t="str">
        <f aca="false">IF(W21&gt;=Risk_Rules!$B$31,"Critical",IF(W21&gt;=Risk_Rules!$B$32,"High",IF(W21&gt;=Risk_Rules!$B$33,"Medium","Low")))</f>
        <v>Medium</v>
      </c>
      <c r="Y21" s="18"/>
      <c r="Z21" s="18"/>
      <c r="AA21" s="18"/>
      <c r="AB21" s="18" t="s">
        <v>101</v>
      </c>
      <c r="AC21" s="18" t="s">
        <v>82</v>
      </c>
      <c r="AD21" s="18" t="s">
        <v>84</v>
      </c>
      <c r="AE21" s="18" t="n">
        <f aca="false">INDEX(Risk_Rules!$B$6:$B$11,MATCH(L21,Risk_Rules!$A$6:$A$11,0))</f>
        <v>20</v>
      </c>
      <c r="AF21" s="18" t="n">
        <f aca="false">INDEX(Risk_Rules!$B$15:$B$18,MATCH(M21,Risk_Rules!$A$15:$A$18,0))</f>
        <v>10</v>
      </c>
      <c r="AG21" s="18" t="n">
        <f aca="false">INDEX(Risk_Rules!$B$22:$B$23,MATCH(R21,Risk_Rules!$A$22:$A$23,0))</f>
        <v>0</v>
      </c>
      <c r="AH21" s="18" t="n">
        <f aca="false">Q21*Risk_Rules!$B$26</f>
        <v>10</v>
      </c>
      <c r="AI21" s="18" t="s">
        <v>171</v>
      </c>
      <c r="AJ21" s="18" t="n">
        <v>4.4</v>
      </c>
      <c r="AK21" s="18" t="s">
        <v>201</v>
      </c>
    </row>
    <row r="22" customFormat="false" ht="15" hidden="false" customHeight="false" outlineLevel="0" collapsed="false">
      <c r="A22" s="18" t="s">
        <v>202</v>
      </c>
      <c r="B22" s="18" t="s">
        <v>203</v>
      </c>
      <c r="C22" s="18" t="n">
        <v>37</v>
      </c>
      <c r="D22" s="18" t="n">
        <v>4.9</v>
      </c>
      <c r="E22" s="18" t="n">
        <v>12.297954</v>
      </c>
      <c r="F22" s="18" t="n">
        <v>76.665169</v>
      </c>
      <c r="G22" s="18" t="n">
        <v>12.347954</v>
      </c>
      <c r="H22" s="18" t="n">
        <v>76.715169</v>
      </c>
      <c r="I22" s="18" t="s">
        <v>73</v>
      </c>
      <c r="J22" s="18" t="s">
        <v>200</v>
      </c>
      <c r="K22" s="18" t="s">
        <v>204</v>
      </c>
      <c r="L22" s="18" t="s">
        <v>90</v>
      </c>
      <c r="M22" s="18" t="s">
        <v>9</v>
      </c>
      <c r="N22" s="18" t="n">
        <v>1</v>
      </c>
      <c r="O22" s="18" t="s">
        <v>130</v>
      </c>
      <c r="P22" s="18" t="s">
        <v>78</v>
      </c>
      <c r="Q22" s="18" t="n">
        <v>1</v>
      </c>
      <c r="R22" s="18" t="s">
        <v>79</v>
      </c>
      <c r="S22" s="18" t="s">
        <v>80</v>
      </c>
      <c r="T22" s="18" t="s">
        <v>81</v>
      </c>
      <c r="U22" s="18" t="n">
        <v>19.5</v>
      </c>
      <c r="V22" s="19" t="n">
        <v>46291.2112847222</v>
      </c>
      <c r="W22" s="20" t="n">
        <f aca="false">MIN(Risk_Rules!$B$27,AE22+AF22+AG22+AH22)</f>
        <v>20</v>
      </c>
      <c r="X22" s="20" t="str">
        <f aca="false">IF(W22&gt;=Risk_Rules!$B$31,"Critical",IF(W22&gt;=Risk_Rules!$B$32,"High",IF(W22&gt;=Risk_Rules!$B$33,"Medium","Low")))</f>
        <v>Low</v>
      </c>
      <c r="Y22" s="18"/>
      <c r="Z22" s="18"/>
      <c r="AA22" s="18"/>
      <c r="AB22" s="18" t="s">
        <v>93</v>
      </c>
      <c r="AC22" s="18" t="s">
        <v>82</v>
      </c>
      <c r="AD22" s="18" t="s">
        <v>84</v>
      </c>
      <c r="AE22" s="18" t="n">
        <f aca="false">INDEX(Risk_Rules!$B$6:$B$11,MATCH(L22,Risk_Rules!$A$6:$A$11,0))</f>
        <v>0</v>
      </c>
      <c r="AF22" s="18" t="n">
        <f aca="false">INDEX(Risk_Rules!$B$15:$B$18,MATCH(M22,Risk_Rules!$A$15:$A$18,0))</f>
        <v>10</v>
      </c>
      <c r="AG22" s="18" t="n">
        <f aca="false">INDEX(Risk_Rules!$B$22:$B$23,MATCH(R22,Risk_Rules!$A$22:$A$23,0))</f>
        <v>0</v>
      </c>
      <c r="AH22" s="18" t="n">
        <f aca="false">Q22*Risk_Rules!$B$26</f>
        <v>10</v>
      </c>
      <c r="AI22" s="18" t="s">
        <v>158</v>
      </c>
      <c r="AJ22" s="18" t="n">
        <v>7.77</v>
      </c>
      <c r="AK22" s="18" t="s">
        <v>205</v>
      </c>
    </row>
    <row r="23" customFormat="false" ht="15" hidden="false" customHeight="false" outlineLevel="0" collapsed="false">
      <c r="A23" s="18" t="s">
        <v>206</v>
      </c>
      <c r="B23" s="18" t="s">
        <v>207</v>
      </c>
      <c r="C23" s="18" t="n">
        <v>32</v>
      </c>
      <c r="D23" s="18" t="n">
        <v>4.8</v>
      </c>
      <c r="E23" s="18" t="n">
        <v>12.3085</v>
      </c>
      <c r="F23" s="18" t="n">
        <v>76.665808</v>
      </c>
      <c r="G23" s="18" t="n">
        <v>12.3785</v>
      </c>
      <c r="H23" s="18" t="n">
        <v>76.735808</v>
      </c>
      <c r="I23" s="18" t="s">
        <v>73</v>
      </c>
      <c r="J23" s="18" t="s">
        <v>204</v>
      </c>
      <c r="K23" s="18" t="s">
        <v>208</v>
      </c>
      <c r="L23" s="18" t="s">
        <v>90</v>
      </c>
      <c r="M23" s="18" t="s">
        <v>9</v>
      </c>
      <c r="N23" s="18" t="n">
        <v>1</v>
      </c>
      <c r="O23" s="18" t="s">
        <v>77</v>
      </c>
      <c r="P23" s="18" t="s">
        <v>92</v>
      </c>
      <c r="Q23" s="18" t="n">
        <v>0</v>
      </c>
      <c r="R23" s="18" t="s">
        <v>79</v>
      </c>
      <c r="S23" s="18" t="s">
        <v>100</v>
      </c>
      <c r="T23" s="18" t="s">
        <v>81</v>
      </c>
      <c r="U23" s="18" t="n">
        <v>20.9</v>
      </c>
      <c r="V23" s="19" t="n">
        <v>46291.2112847222</v>
      </c>
      <c r="W23" s="20" t="n">
        <f aca="false">MIN(Risk_Rules!$B$27,AE23+AF23+AG23+AH23)</f>
        <v>10</v>
      </c>
      <c r="X23" s="20" t="str">
        <f aca="false">IF(W23&gt;=Risk_Rules!$B$31,"Critical",IF(W23&gt;=Risk_Rules!$B$32,"High",IF(W23&gt;=Risk_Rules!$B$33,"Medium","Low")))</f>
        <v>Low</v>
      </c>
      <c r="Y23" s="18"/>
      <c r="Z23" s="18"/>
      <c r="AA23" s="18"/>
      <c r="AB23" s="18" t="s">
        <v>93</v>
      </c>
      <c r="AC23" s="18" t="s">
        <v>82</v>
      </c>
      <c r="AD23" s="18" t="s">
        <v>84</v>
      </c>
      <c r="AE23" s="18" t="n">
        <f aca="false">INDEX(Risk_Rules!$B$6:$B$11,MATCH(L23,Risk_Rules!$A$6:$A$11,0))</f>
        <v>0</v>
      </c>
      <c r="AF23" s="18" t="n">
        <f aca="false">INDEX(Risk_Rules!$B$15:$B$18,MATCH(M23,Risk_Rules!$A$15:$A$18,0))</f>
        <v>10</v>
      </c>
      <c r="AG23" s="18" t="n">
        <f aca="false">INDEX(Risk_Rules!$B$22:$B$23,MATCH(R23,Risk_Rules!$A$22:$A$23,0))</f>
        <v>0</v>
      </c>
      <c r="AH23" s="18" t="n">
        <f aca="false">Q23*Risk_Rules!$B$26</f>
        <v>0</v>
      </c>
      <c r="AI23" s="18" t="s">
        <v>186</v>
      </c>
      <c r="AJ23" s="18" t="n">
        <v>10.88</v>
      </c>
      <c r="AK23" s="18" t="s">
        <v>209</v>
      </c>
    </row>
    <row r="24" customFormat="false" ht="15" hidden="false" customHeight="false" outlineLevel="0" collapsed="false">
      <c r="A24" s="18" t="s">
        <v>210</v>
      </c>
      <c r="B24" s="18" t="s">
        <v>211</v>
      </c>
      <c r="C24" s="18" t="n">
        <v>27</v>
      </c>
      <c r="D24" s="18" t="n">
        <v>4.7</v>
      </c>
      <c r="E24" s="18" t="n">
        <v>19.103249</v>
      </c>
      <c r="F24" s="18" t="n">
        <v>72.846749</v>
      </c>
      <c r="G24" s="18" t="n">
        <v>19.153249</v>
      </c>
      <c r="H24" s="18" t="n">
        <v>72.896749</v>
      </c>
      <c r="I24" s="18" t="s">
        <v>73</v>
      </c>
      <c r="J24" s="18" t="s">
        <v>204</v>
      </c>
      <c r="K24" s="18" t="s">
        <v>212</v>
      </c>
      <c r="L24" s="18" t="s">
        <v>169</v>
      </c>
      <c r="M24" s="18" t="s">
        <v>9</v>
      </c>
      <c r="N24" s="18" t="n">
        <v>1</v>
      </c>
      <c r="O24" s="18" t="s">
        <v>130</v>
      </c>
      <c r="P24" s="18" t="s">
        <v>78</v>
      </c>
      <c r="Q24" s="18" t="n">
        <v>0</v>
      </c>
      <c r="R24" s="18" t="s">
        <v>79</v>
      </c>
      <c r="S24" s="18" t="s">
        <v>100</v>
      </c>
      <c r="T24" s="18" t="s">
        <v>81</v>
      </c>
      <c r="U24" s="18" t="n">
        <v>14.3</v>
      </c>
      <c r="V24" s="19" t="n">
        <v>46291.2112847222</v>
      </c>
      <c r="W24" s="21" t="n">
        <f aca="false">MIN(Risk_Rules!$B$27,AE24+AF24+AG24+AH24)</f>
        <v>30</v>
      </c>
      <c r="X24" s="21" t="str">
        <f aca="false">IF(W24&gt;=Risk_Rules!$B$31,"Critical",IF(W24&gt;=Risk_Rules!$B$32,"High",IF(W24&gt;=Risk_Rules!$B$33,"Medium","Low")))</f>
        <v>Medium</v>
      </c>
      <c r="Y24" s="18"/>
      <c r="Z24" s="18"/>
      <c r="AA24" s="18"/>
      <c r="AB24" s="18" t="s">
        <v>101</v>
      </c>
      <c r="AC24" s="18" t="s">
        <v>82</v>
      </c>
      <c r="AD24" s="18" t="s">
        <v>84</v>
      </c>
      <c r="AE24" s="18" t="n">
        <f aca="false">INDEX(Risk_Rules!$B$6:$B$11,MATCH(L24,Risk_Rules!$A$6:$A$11,0))</f>
        <v>20</v>
      </c>
      <c r="AF24" s="18" t="n">
        <f aca="false">INDEX(Risk_Rules!$B$15:$B$18,MATCH(M24,Risk_Rules!$A$15:$A$18,0))</f>
        <v>10</v>
      </c>
      <c r="AG24" s="18" t="n">
        <f aca="false">INDEX(Risk_Rules!$B$22:$B$23,MATCH(R24,Risk_Rules!$A$22:$A$23,0))</f>
        <v>0</v>
      </c>
      <c r="AH24" s="18" t="n">
        <f aca="false">Q24*Risk_Rules!$B$26</f>
        <v>0</v>
      </c>
      <c r="AI24" s="18" t="s">
        <v>213</v>
      </c>
      <c r="AJ24" s="18" t="n">
        <v>7.65</v>
      </c>
      <c r="AK24" s="18" t="s">
        <v>205</v>
      </c>
    </row>
    <row r="25" customFormat="false" ht="15" hidden="false" customHeight="false" outlineLevel="0" collapsed="false">
      <c r="A25" s="18" t="s">
        <v>214</v>
      </c>
      <c r="B25" s="18" t="s">
        <v>215</v>
      </c>
      <c r="C25" s="18" t="n">
        <v>23</v>
      </c>
      <c r="D25" s="18" t="n">
        <v>4.9</v>
      </c>
      <c r="E25" s="18" t="n">
        <v>11.000762</v>
      </c>
      <c r="F25" s="18" t="n">
        <v>76.981876</v>
      </c>
      <c r="G25" s="18" t="n">
        <v>11.130762</v>
      </c>
      <c r="H25" s="18" t="n">
        <v>77.111876</v>
      </c>
      <c r="I25" s="18" t="s">
        <v>73</v>
      </c>
      <c r="J25" s="18" t="s">
        <v>216</v>
      </c>
      <c r="K25" s="18" t="s">
        <v>217</v>
      </c>
      <c r="L25" s="18" t="s">
        <v>76</v>
      </c>
      <c r="M25" s="18" t="s">
        <v>10</v>
      </c>
      <c r="N25" s="18" t="n">
        <v>1</v>
      </c>
      <c r="O25" s="18" t="s">
        <v>130</v>
      </c>
      <c r="P25" s="18" t="s">
        <v>78</v>
      </c>
      <c r="Q25" s="18" t="n">
        <v>0</v>
      </c>
      <c r="R25" s="18" t="s">
        <v>79</v>
      </c>
      <c r="S25" s="18" t="s">
        <v>80</v>
      </c>
      <c r="T25" s="18" t="s">
        <v>81</v>
      </c>
      <c r="U25" s="18" t="n">
        <v>14.9</v>
      </c>
      <c r="V25" s="19" t="n">
        <v>46291.2112847222</v>
      </c>
      <c r="W25" s="20" t="n">
        <f aca="false">MIN(Risk_Rules!$B$27,AE25+AF25+AG25+AH25)</f>
        <v>10</v>
      </c>
      <c r="X25" s="20" t="str">
        <f aca="false">IF(W25&gt;=Risk_Rules!$B$31,"Critical",IF(W25&gt;=Risk_Rules!$B$32,"High",IF(W25&gt;=Risk_Rules!$B$33,"Medium","Low")))</f>
        <v>Low</v>
      </c>
      <c r="Y25" s="18"/>
      <c r="Z25" s="18"/>
      <c r="AA25" s="18"/>
      <c r="AB25" s="18" t="s">
        <v>82</v>
      </c>
      <c r="AC25" s="18" t="s">
        <v>83</v>
      </c>
      <c r="AD25" s="18" t="s">
        <v>84</v>
      </c>
      <c r="AE25" s="18" t="n">
        <f aca="false">INDEX(Risk_Rules!$B$6:$B$11,MATCH(L25,Risk_Rules!$A$6:$A$11,0))</f>
        <v>10</v>
      </c>
      <c r="AF25" s="18" t="n">
        <f aca="false">INDEX(Risk_Rules!$B$15:$B$18,MATCH(M25,Risk_Rules!$A$15:$A$18,0))</f>
        <v>0</v>
      </c>
      <c r="AG25" s="18" t="n">
        <f aca="false">INDEX(Risk_Rules!$B$22:$B$23,MATCH(R25,Risk_Rules!$A$22:$A$23,0))</f>
        <v>0</v>
      </c>
      <c r="AH25" s="18" t="n">
        <f aca="false">Q25*Risk_Rules!$B$26</f>
        <v>0</v>
      </c>
      <c r="AI25" s="18" t="s">
        <v>85</v>
      </c>
      <c r="AJ25" s="18" t="n">
        <v>20.25</v>
      </c>
      <c r="AK25" s="18" t="s">
        <v>218</v>
      </c>
    </row>
    <row r="26" customFormat="false" ht="15" hidden="false" customHeight="false" outlineLevel="0" collapsed="false">
      <c r="A26" s="18" t="s">
        <v>219</v>
      </c>
      <c r="B26" s="18" t="s">
        <v>220</v>
      </c>
      <c r="C26" s="18" t="n">
        <v>27</v>
      </c>
      <c r="D26" s="18" t="n">
        <v>4.8</v>
      </c>
      <c r="E26" s="18" t="n">
        <v>18.593481</v>
      </c>
      <c r="F26" s="18" t="n">
        <v>73.785901</v>
      </c>
      <c r="G26" s="18" t="n">
        <v>18.643481</v>
      </c>
      <c r="H26" s="18" t="n">
        <v>73.835901</v>
      </c>
      <c r="I26" s="18" t="s">
        <v>73</v>
      </c>
      <c r="J26" s="18" t="s">
        <v>216</v>
      </c>
      <c r="K26" s="18" t="s">
        <v>221</v>
      </c>
      <c r="L26" s="18" t="s">
        <v>138</v>
      </c>
      <c r="M26" s="18" t="s">
        <v>10</v>
      </c>
      <c r="N26" s="18" t="n">
        <v>1</v>
      </c>
      <c r="O26" s="18" t="s">
        <v>130</v>
      </c>
      <c r="P26" s="18" t="s">
        <v>92</v>
      </c>
      <c r="Q26" s="18" t="n">
        <v>1</v>
      </c>
      <c r="R26" s="18" t="s">
        <v>79</v>
      </c>
      <c r="S26" s="18" t="s">
        <v>100</v>
      </c>
      <c r="T26" s="18" t="s">
        <v>81</v>
      </c>
      <c r="U26" s="18" t="n">
        <v>15</v>
      </c>
      <c r="V26" s="19" t="n">
        <v>46291.2112847222</v>
      </c>
      <c r="W26" s="21" t="n">
        <f aca="false">MIN(Risk_Rules!$B$27,AE26+AF26+AG26+AH26)</f>
        <v>30</v>
      </c>
      <c r="X26" s="21" t="str">
        <f aca="false">IF(W26&gt;=Risk_Rules!$B$31,"Critical",IF(W26&gt;=Risk_Rules!$B$32,"High",IF(W26&gt;=Risk_Rules!$B$33,"Medium","Low")))</f>
        <v>Medium</v>
      </c>
      <c r="Y26" s="18"/>
      <c r="Z26" s="18"/>
      <c r="AA26" s="18"/>
      <c r="AB26" s="18" t="s">
        <v>101</v>
      </c>
      <c r="AC26" s="18" t="s">
        <v>83</v>
      </c>
      <c r="AD26" s="18" t="s">
        <v>84</v>
      </c>
      <c r="AE26" s="18" t="n">
        <f aca="false">INDEX(Risk_Rules!$B$6:$B$11,MATCH(L26,Risk_Rules!$A$6:$A$11,0))</f>
        <v>20</v>
      </c>
      <c r="AF26" s="18" t="n">
        <f aca="false">INDEX(Risk_Rules!$B$15:$B$18,MATCH(M26,Risk_Rules!$A$15:$A$18,0))</f>
        <v>0</v>
      </c>
      <c r="AG26" s="18" t="n">
        <f aca="false">INDEX(Risk_Rules!$B$22:$B$23,MATCH(R26,Risk_Rules!$A$22:$A$23,0))</f>
        <v>0</v>
      </c>
      <c r="AH26" s="18" t="n">
        <f aca="false">Q26*Risk_Rules!$B$26</f>
        <v>10</v>
      </c>
      <c r="AI26" s="18" t="s">
        <v>222</v>
      </c>
      <c r="AJ26" s="18" t="n">
        <v>7.66</v>
      </c>
      <c r="AK26" s="18" t="s">
        <v>223</v>
      </c>
    </row>
    <row r="27" customFormat="false" ht="15" hidden="false" customHeight="false" outlineLevel="0" collapsed="false">
      <c r="A27" s="18" t="s">
        <v>224</v>
      </c>
      <c r="B27" s="18" t="s">
        <v>225</v>
      </c>
      <c r="C27" s="18" t="n">
        <v>24</v>
      </c>
      <c r="D27" s="18" t="n">
        <v>4.5</v>
      </c>
      <c r="E27" s="18" t="n">
        <v>12.986047</v>
      </c>
      <c r="F27" s="18" t="n">
        <v>80.218114</v>
      </c>
      <c r="G27" s="18" t="n">
        <v>13.076047</v>
      </c>
      <c r="H27" s="18" t="n">
        <v>80.308114</v>
      </c>
      <c r="I27" s="18" t="s">
        <v>73</v>
      </c>
      <c r="J27" s="18" t="s">
        <v>226</v>
      </c>
      <c r="K27" s="18" t="s">
        <v>227</v>
      </c>
      <c r="L27" s="18" t="s">
        <v>138</v>
      </c>
      <c r="M27" s="18" t="s">
        <v>228</v>
      </c>
      <c r="N27" s="18" t="n">
        <v>1</v>
      </c>
      <c r="O27" s="18" t="s">
        <v>99</v>
      </c>
      <c r="P27" s="18" t="s">
        <v>92</v>
      </c>
      <c r="Q27" s="18" t="n">
        <v>1</v>
      </c>
      <c r="R27" s="18" t="s">
        <v>79</v>
      </c>
      <c r="S27" s="18" t="s">
        <v>80</v>
      </c>
      <c r="T27" s="18" t="s">
        <v>81</v>
      </c>
      <c r="U27" s="18" t="n">
        <v>35.4</v>
      </c>
      <c r="V27" s="19" t="n">
        <v>46291.2112847222</v>
      </c>
      <c r="W27" s="22" t="n">
        <f aca="false">MIN(Risk_Rules!$B$27,AE27+AF27+AG27+AH27)</f>
        <v>60</v>
      </c>
      <c r="X27" s="22" t="str">
        <f aca="false">IF(W27&gt;=Risk_Rules!$B$31,"Critical",IF(W27&gt;=Risk_Rules!$B$32,"High",IF(W27&gt;=Risk_Rules!$B$33,"Medium","Low")))</f>
        <v>High</v>
      </c>
      <c r="Y27" s="18"/>
      <c r="Z27" s="18"/>
      <c r="AA27" s="18"/>
      <c r="AB27" s="18" t="s">
        <v>101</v>
      </c>
      <c r="AC27" s="18" t="s">
        <v>229</v>
      </c>
      <c r="AD27" s="18" t="s">
        <v>84</v>
      </c>
      <c r="AE27" s="18" t="n">
        <f aca="false">INDEX(Risk_Rules!$B$6:$B$11,MATCH(L27,Risk_Rules!$A$6:$A$11,0))</f>
        <v>20</v>
      </c>
      <c r="AF27" s="18" t="n">
        <f aca="false">INDEX(Risk_Rules!$B$15:$B$18,MATCH(M27,Risk_Rules!$A$15:$A$18,0))</f>
        <v>30</v>
      </c>
      <c r="AG27" s="18" t="n">
        <f aca="false">INDEX(Risk_Rules!$B$22:$B$23,MATCH(R27,Risk_Rules!$A$22:$A$23,0))</f>
        <v>0</v>
      </c>
      <c r="AH27" s="18" t="n">
        <f aca="false">Q27*Risk_Rules!$B$26</f>
        <v>10</v>
      </c>
      <c r="AI27" s="18" t="s">
        <v>230</v>
      </c>
      <c r="AJ27" s="18" t="n">
        <v>13.97</v>
      </c>
      <c r="AK27" s="18" t="s">
        <v>231</v>
      </c>
    </row>
    <row r="28" customFormat="false" ht="15" hidden="false" customHeight="false" outlineLevel="0" collapsed="false">
      <c r="A28" s="18" t="s">
        <v>232</v>
      </c>
      <c r="B28" s="18" t="s">
        <v>233</v>
      </c>
      <c r="C28" s="18" t="n">
        <v>28</v>
      </c>
      <c r="D28" s="18" t="n">
        <v>4.5</v>
      </c>
      <c r="E28" s="18" t="n">
        <v>11.025083</v>
      </c>
      <c r="F28" s="18" t="n">
        <v>77.015393</v>
      </c>
      <c r="G28" s="18" t="n">
        <v>11.075083</v>
      </c>
      <c r="H28" s="18" t="n">
        <v>77.065393</v>
      </c>
      <c r="I28" s="18" t="s">
        <v>73</v>
      </c>
      <c r="J28" s="18" t="s">
        <v>234</v>
      </c>
      <c r="K28" s="18" t="s">
        <v>235</v>
      </c>
      <c r="L28" s="18" t="s">
        <v>76</v>
      </c>
      <c r="M28" s="18" t="s">
        <v>228</v>
      </c>
      <c r="N28" s="18" t="n">
        <v>1</v>
      </c>
      <c r="O28" s="18" t="s">
        <v>130</v>
      </c>
      <c r="P28" s="18" t="s">
        <v>78</v>
      </c>
      <c r="Q28" s="18" t="n">
        <v>1</v>
      </c>
      <c r="R28" s="18" t="s">
        <v>79</v>
      </c>
      <c r="S28" s="18" t="s">
        <v>100</v>
      </c>
      <c r="T28" s="18" t="s">
        <v>81</v>
      </c>
      <c r="U28" s="18" t="n">
        <v>19.1</v>
      </c>
      <c r="V28" s="19" t="n">
        <v>46291.2112847222</v>
      </c>
      <c r="W28" s="22" t="n">
        <f aca="false">MIN(Risk_Rules!$B$27,AE28+AF28+AG28+AH28)</f>
        <v>50</v>
      </c>
      <c r="X28" s="22" t="str">
        <f aca="false">IF(W28&gt;=Risk_Rules!$B$31,"Critical",IF(W28&gt;=Risk_Rules!$B$32,"High",IF(W28&gt;=Risk_Rules!$B$33,"Medium","Low")))</f>
        <v>High</v>
      </c>
      <c r="Y28" s="18"/>
      <c r="Z28" s="18"/>
      <c r="AA28" s="18"/>
      <c r="AB28" s="18" t="s">
        <v>82</v>
      </c>
      <c r="AC28" s="18" t="s">
        <v>229</v>
      </c>
      <c r="AD28" s="18" t="s">
        <v>84</v>
      </c>
      <c r="AE28" s="18" t="n">
        <f aca="false">INDEX(Risk_Rules!$B$6:$B$11,MATCH(L28,Risk_Rules!$A$6:$A$11,0))</f>
        <v>10</v>
      </c>
      <c r="AF28" s="18" t="n">
        <f aca="false">INDEX(Risk_Rules!$B$15:$B$18,MATCH(M28,Risk_Rules!$A$15:$A$18,0))</f>
        <v>30</v>
      </c>
      <c r="AG28" s="18" t="n">
        <f aca="false">INDEX(Risk_Rules!$B$22:$B$23,MATCH(R28,Risk_Rules!$A$22:$A$23,0))</f>
        <v>0</v>
      </c>
      <c r="AH28" s="18" t="n">
        <f aca="false">Q28*Risk_Rules!$B$26</f>
        <v>10</v>
      </c>
      <c r="AI28" s="18" t="s">
        <v>236</v>
      </c>
      <c r="AJ28" s="18" t="n">
        <v>7.79</v>
      </c>
      <c r="AK28" s="18" t="s">
        <v>237</v>
      </c>
    </row>
    <row r="29" customFormat="false" ht="15" hidden="false" customHeight="false" outlineLevel="0" collapsed="false">
      <c r="A29" s="18" t="s">
        <v>238</v>
      </c>
      <c r="B29" s="18" t="s">
        <v>239</v>
      </c>
      <c r="C29" s="18" t="n">
        <v>29</v>
      </c>
      <c r="D29" s="18" t="n">
        <v>4.7</v>
      </c>
      <c r="E29" s="18" t="n">
        <v>27.195928</v>
      </c>
      <c r="F29" s="18" t="n">
        <v>77.998092</v>
      </c>
      <c r="G29" s="18" t="n">
        <v>27.325928</v>
      </c>
      <c r="H29" s="18" t="n">
        <v>78.128092</v>
      </c>
      <c r="I29" s="18" t="s">
        <v>73</v>
      </c>
      <c r="J29" s="18" t="s">
        <v>234</v>
      </c>
      <c r="K29" s="18" t="s">
        <v>240</v>
      </c>
      <c r="L29" s="18" t="s">
        <v>90</v>
      </c>
      <c r="M29" s="18" t="s">
        <v>228</v>
      </c>
      <c r="N29" s="18" t="n">
        <v>1</v>
      </c>
      <c r="O29" s="18" t="s">
        <v>91</v>
      </c>
      <c r="P29" s="18" t="s">
        <v>78</v>
      </c>
      <c r="Q29" s="18" t="n">
        <v>1</v>
      </c>
      <c r="R29" s="18" t="s">
        <v>79</v>
      </c>
      <c r="S29" s="18" t="s">
        <v>80</v>
      </c>
      <c r="T29" s="18" t="s">
        <v>81</v>
      </c>
      <c r="U29" s="18" t="n">
        <v>18.5</v>
      </c>
      <c r="V29" s="19" t="n">
        <v>46291.2112847222</v>
      </c>
      <c r="W29" s="21" t="n">
        <f aca="false">MIN(Risk_Rules!$B$27,AE29+AF29+AG29+AH29)</f>
        <v>40</v>
      </c>
      <c r="X29" s="21" t="str">
        <f aca="false">IF(W29&gt;=Risk_Rules!$B$31,"Critical",IF(W29&gt;=Risk_Rules!$B$32,"High",IF(W29&gt;=Risk_Rules!$B$33,"Medium","Low")))</f>
        <v>Medium</v>
      </c>
      <c r="Y29" s="18"/>
      <c r="Z29" s="18"/>
      <c r="AA29" s="18"/>
      <c r="AB29" s="18" t="s">
        <v>93</v>
      </c>
      <c r="AC29" s="18" t="s">
        <v>229</v>
      </c>
      <c r="AD29" s="18" t="s">
        <v>84</v>
      </c>
      <c r="AE29" s="18" t="n">
        <f aca="false">INDEX(Risk_Rules!$B$6:$B$11,MATCH(L29,Risk_Rules!$A$6:$A$11,0))</f>
        <v>0</v>
      </c>
      <c r="AF29" s="18" t="n">
        <f aca="false">INDEX(Risk_Rules!$B$15:$B$18,MATCH(M29,Risk_Rules!$A$15:$A$18,0))</f>
        <v>30</v>
      </c>
      <c r="AG29" s="18" t="n">
        <f aca="false">INDEX(Risk_Rules!$B$22:$B$23,MATCH(R29,Risk_Rules!$A$22:$A$23,0))</f>
        <v>0</v>
      </c>
      <c r="AH29" s="18" t="n">
        <f aca="false">Q29*Risk_Rules!$B$26</f>
        <v>10</v>
      </c>
      <c r="AI29" s="18" t="s">
        <v>241</v>
      </c>
      <c r="AJ29" s="18" t="n">
        <v>19.34</v>
      </c>
      <c r="AK29" s="18" t="s">
        <v>242</v>
      </c>
    </row>
    <row r="30" customFormat="false" ht="15" hidden="false" customHeight="false" outlineLevel="0" collapsed="false">
      <c r="A30" s="18" t="s">
        <v>243</v>
      </c>
      <c r="B30" s="18" t="s">
        <v>244</v>
      </c>
      <c r="C30" s="18" t="n">
        <v>33</v>
      </c>
      <c r="D30" s="18" t="n">
        <v>4.5</v>
      </c>
      <c r="E30" s="18" t="n">
        <v>23.351489</v>
      </c>
      <c r="F30" s="18" t="n">
        <v>85.324253</v>
      </c>
      <c r="G30" s="18" t="n">
        <v>23.421489</v>
      </c>
      <c r="H30" s="18" t="n">
        <v>85.394253</v>
      </c>
      <c r="I30" s="18" t="s">
        <v>73</v>
      </c>
      <c r="J30" s="18" t="s">
        <v>245</v>
      </c>
      <c r="K30" s="18" t="s">
        <v>246</v>
      </c>
      <c r="L30" s="18" t="s">
        <v>123</v>
      </c>
      <c r="M30" s="18" t="s">
        <v>228</v>
      </c>
      <c r="N30" s="18" t="n">
        <v>1</v>
      </c>
      <c r="O30" s="18" t="s">
        <v>91</v>
      </c>
      <c r="P30" s="18" t="s">
        <v>92</v>
      </c>
      <c r="Q30" s="18" t="n">
        <v>1</v>
      </c>
      <c r="R30" s="18" t="s">
        <v>79</v>
      </c>
      <c r="S30" s="18" t="s">
        <v>80</v>
      </c>
      <c r="T30" s="18" t="s">
        <v>81</v>
      </c>
      <c r="U30" s="18" t="n">
        <v>32.5</v>
      </c>
      <c r="V30" s="19" t="n">
        <v>46291.2112847222</v>
      </c>
      <c r="W30" s="22" t="n">
        <f aca="false">MIN(Risk_Rules!$B$27,AE30+AF30+AG30+AH30)</f>
        <v>60</v>
      </c>
      <c r="X30" s="22" t="str">
        <f aca="false">IF(W30&gt;=Risk_Rules!$B$31,"Critical",IF(W30&gt;=Risk_Rules!$B$32,"High",IF(W30&gt;=Risk_Rules!$B$33,"Medium","Low")))</f>
        <v>High</v>
      </c>
      <c r="Y30" s="18"/>
      <c r="Z30" s="18"/>
      <c r="AA30" s="18"/>
      <c r="AB30" s="18" t="s">
        <v>101</v>
      </c>
      <c r="AC30" s="18" t="s">
        <v>229</v>
      </c>
      <c r="AD30" s="18" t="s">
        <v>84</v>
      </c>
      <c r="AE30" s="18" t="n">
        <f aca="false">INDEX(Risk_Rules!$B$6:$B$11,MATCH(L30,Risk_Rules!$A$6:$A$11,0))</f>
        <v>20</v>
      </c>
      <c r="AF30" s="18" t="n">
        <f aca="false">INDEX(Risk_Rules!$B$15:$B$18,MATCH(M30,Risk_Rules!$A$15:$A$18,0))</f>
        <v>30</v>
      </c>
      <c r="AG30" s="18" t="n">
        <f aca="false">INDEX(Risk_Rules!$B$22:$B$23,MATCH(R30,Risk_Rules!$A$22:$A$23,0))</f>
        <v>0</v>
      </c>
      <c r="AH30" s="18" t="n">
        <f aca="false">Q30*Risk_Rules!$B$26</f>
        <v>10</v>
      </c>
      <c r="AI30" s="18" t="s">
        <v>247</v>
      </c>
      <c r="AJ30" s="18" t="n">
        <v>10.57</v>
      </c>
      <c r="AK30" s="18" t="s">
        <v>248</v>
      </c>
    </row>
    <row r="31" customFormat="false" ht="15" hidden="false" customHeight="false" outlineLevel="0" collapsed="false">
      <c r="A31" s="18" t="s">
        <v>249</v>
      </c>
      <c r="B31" s="18" t="s">
        <v>250</v>
      </c>
      <c r="C31" s="18" t="n">
        <v>26</v>
      </c>
      <c r="D31" s="18" t="n">
        <v>4.8</v>
      </c>
      <c r="E31" s="18" t="n">
        <v>11.016298</v>
      </c>
      <c r="F31" s="18" t="n">
        <v>76.972076</v>
      </c>
      <c r="G31" s="18" t="n">
        <v>11.146298</v>
      </c>
      <c r="H31" s="18" t="n">
        <v>77.102076</v>
      </c>
      <c r="I31" s="18" t="s">
        <v>73</v>
      </c>
      <c r="J31" s="18" t="s">
        <v>246</v>
      </c>
      <c r="K31" s="18" t="s">
        <v>251</v>
      </c>
      <c r="L31" s="18" t="s">
        <v>76</v>
      </c>
      <c r="M31" s="18" t="s">
        <v>228</v>
      </c>
      <c r="N31" s="18" t="n">
        <v>1</v>
      </c>
      <c r="O31" s="18" t="s">
        <v>130</v>
      </c>
      <c r="P31" s="18" t="s">
        <v>92</v>
      </c>
      <c r="Q31" s="18" t="n">
        <v>0</v>
      </c>
      <c r="R31" s="18" t="s">
        <v>79</v>
      </c>
      <c r="S31" s="18" t="s">
        <v>80</v>
      </c>
      <c r="T31" s="18" t="s">
        <v>81</v>
      </c>
      <c r="U31" s="18" t="n">
        <v>21.6</v>
      </c>
      <c r="V31" s="19" t="n">
        <v>46291.2112847222</v>
      </c>
      <c r="W31" s="21" t="n">
        <f aca="false">MIN(Risk_Rules!$B$27,AE31+AF31+AG31+AH31)</f>
        <v>40</v>
      </c>
      <c r="X31" s="21" t="str">
        <f aca="false">IF(W31&gt;=Risk_Rules!$B$31,"Critical",IF(W31&gt;=Risk_Rules!$B$32,"High",IF(W31&gt;=Risk_Rules!$B$33,"Medium","Low")))</f>
        <v>Medium</v>
      </c>
      <c r="Y31" s="18"/>
      <c r="Z31" s="18"/>
      <c r="AA31" s="18"/>
      <c r="AB31" s="18" t="s">
        <v>82</v>
      </c>
      <c r="AC31" s="18" t="s">
        <v>229</v>
      </c>
      <c r="AD31" s="18" t="s">
        <v>84</v>
      </c>
      <c r="AE31" s="18" t="n">
        <f aca="false">INDEX(Risk_Rules!$B$6:$B$11,MATCH(L31,Risk_Rules!$A$6:$A$11,0))</f>
        <v>10</v>
      </c>
      <c r="AF31" s="18" t="n">
        <f aca="false">INDEX(Risk_Rules!$B$15:$B$18,MATCH(M31,Risk_Rules!$A$15:$A$18,0))</f>
        <v>30</v>
      </c>
      <c r="AG31" s="18" t="n">
        <f aca="false">INDEX(Risk_Rules!$B$22:$B$23,MATCH(R31,Risk_Rules!$A$22:$A$23,0))</f>
        <v>0</v>
      </c>
      <c r="AH31" s="18" t="n">
        <f aca="false">Q31*Risk_Rules!$B$26</f>
        <v>0</v>
      </c>
      <c r="AI31" s="18" t="s">
        <v>252</v>
      </c>
      <c r="AJ31" s="18" t="n">
        <v>20.25</v>
      </c>
      <c r="AK31" s="18" t="s">
        <v>253</v>
      </c>
    </row>
    <row r="32" customFormat="false" ht="15" hidden="false" customHeight="false" outlineLevel="0" collapsed="false">
      <c r="A32" s="18" t="s">
        <v>254</v>
      </c>
      <c r="B32" s="18" t="s">
        <v>255</v>
      </c>
      <c r="C32" s="18" t="n">
        <v>35</v>
      </c>
      <c r="D32" s="18" t="n">
        <v>4.3</v>
      </c>
      <c r="E32" s="18" t="n">
        <v>23.353783</v>
      </c>
      <c r="F32" s="18" t="n">
        <v>85.326967</v>
      </c>
      <c r="G32" s="18" t="n">
        <v>23.423783</v>
      </c>
      <c r="H32" s="18" t="n">
        <v>85.396967</v>
      </c>
      <c r="I32" s="18" t="s">
        <v>73</v>
      </c>
      <c r="J32" s="18" t="s">
        <v>246</v>
      </c>
      <c r="K32" s="18" t="s">
        <v>251</v>
      </c>
      <c r="L32" s="18" t="s">
        <v>169</v>
      </c>
      <c r="M32" s="18" t="s">
        <v>228</v>
      </c>
      <c r="N32" s="18" t="n">
        <v>1</v>
      </c>
      <c r="O32" s="18" t="s">
        <v>99</v>
      </c>
      <c r="P32" s="18" t="s">
        <v>78</v>
      </c>
      <c r="Q32" s="18" t="n">
        <v>0</v>
      </c>
      <c r="R32" s="18" t="s">
        <v>79</v>
      </c>
      <c r="S32" s="18" t="s">
        <v>80</v>
      </c>
      <c r="T32" s="18" t="s">
        <v>81</v>
      </c>
      <c r="U32" s="18" t="n">
        <v>40.8</v>
      </c>
      <c r="V32" s="19" t="n">
        <v>46291.2112847222</v>
      </c>
      <c r="W32" s="22" t="n">
        <f aca="false">MIN(Risk_Rules!$B$27,AE32+AF32+AG32+AH32)</f>
        <v>50</v>
      </c>
      <c r="X32" s="22" t="str">
        <f aca="false">IF(W32&gt;=Risk_Rules!$B$31,"Critical",IF(W32&gt;=Risk_Rules!$B$32,"High",IF(W32&gt;=Risk_Rules!$B$33,"Medium","Low")))</f>
        <v>High</v>
      </c>
      <c r="Y32" s="18"/>
      <c r="Z32" s="18"/>
      <c r="AA32" s="18"/>
      <c r="AB32" s="18" t="s">
        <v>101</v>
      </c>
      <c r="AC32" s="18" t="s">
        <v>229</v>
      </c>
      <c r="AD32" s="18" t="s">
        <v>84</v>
      </c>
      <c r="AE32" s="18" t="n">
        <f aca="false">INDEX(Risk_Rules!$B$6:$B$11,MATCH(L32,Risk_Rules!$A$6:$A$11,0))</f>
        <v>20</v>
      </c>
      <c r="AF32" s="18" t="n">
        <f aca="false">INDEX(Risk_Rules!$B$15:$B$18,MATCH(M32,Risk_Rules!$A$15:$A$18,0))</f>
        <v>30</v>
      </c>
      <c r="AG32" s="18" t="n">
        <f aca="false">INDEX(Risk_Rules!$B$22:$B$23,MATCH(R32,Risk_Rules!$A$22:$A$23,0))</f>
        <v>0</v>
      </c>
      <c r="AH32" s="18" t="n">
        <f aca="false">Q32*Risk_Rules!$B$26</f>
        <v>0</v>
      </c>
      <c r="AI32" s="18" t="s">
        <v>256</v>
      </c>
      <c r="AJ32" s="18" t="n">
        <v>10.57</v>
      </c>
      <c r="AK32" s="18" t="s">
        <v>257</v>
      </c>
    </row>
    <row r="33" customFormat="false" ht="15" hidden="false" customHeight="false" outlineLevel="0" collapsed="false">
      <c r="A33" s="18" t="s">
        <v>258</v>
      </c>
      <c r="B33" s="18" t="s">
        <v>259</v>
      </c>
      <c r="C33" s="18" t="n">
        <v>32</v>
      </c>
      <c r="D33" s="18" t="n">
        <v>4.4</v>
      </c>
      <c r="E33" s="18" t="n">
        <v>21.186884</v>
      </c>
      <c r="F33" s="18" t="n">
        <v>72.793616</v>
      </c>
      <c r="G33" s="18" t="n">
        <v>21.276884</v>
      </c>
      <c r="H33" s="18" t="n">
        <v>72.883616</v>
      </c>
      <c r="I33" s="18" t="s">
        <v>73</v>
      </c>
      <c r="J33" s="18" t="s">
        <v>260</v>
      </c>
      <c r="K33" s="18" t="s">
        <v>261</v>
      </c>
      <c r="L33" s="18" t="s">
        <v>123</v>
      </c>
      <c r="M33" s="18" t="s">
        <v>228</v>
      </c>
      <c r="N33" s="18" t="n">
        <v>2</v>
      </c>
      <c r="O33" s="18" t="s">
        <v>130</v>
      </c>
      <c r="P33" s="18" t="s">
        <v>170</v>
      </c>
      <c r="Q33" s="18" t="n">
        <v>0</v>
      </c>
      <c r="R33" s="18" t="s">
        <v>79</v>
      </c>
      <c r="S33" s="18" t="s">
        <v>80</v>
      </c>
      <c r="T33" s="18" t="s">
        <v>81</v>
      </c>
      <c r="U33" s="18" t="n">
        <v>37.6</v>
      </c>
      <c r="V33" s="19" t="n">
        <v>46291.2112847222</v>
      </c>
      <c r="W33" s="22" t="n">
        <f aca="false">MIN(Risk_Rules!$B$27,AE33+AF33+AG33+AH33)</f>
        <v>50</v>
      </c>
      <c r="X33" s="22" t="str">
        <f aca="false">IF(W33&gt;=Risk_Rules!$B$31,"Critical",IF(W33&gt;=Risk_Rules!$B$32,"High",IF(W33&gt;=Risk_Rules!$B$33,"Medium","Low")))</f>
        <v>High</v>
      </c>
      <c r="Y33" s="18"/>
      <c r="Z33" s="18"/>
      <c r="AA33" s="18"/>
      <c r="AB33" s="18" t="s">
        <v>101</v>
      </c>
      <c r="AC33" s="18" t="s">
        <v>229</v>
      </c>
      <c r="AD33" s="18" t="s">
        <v>84</v>
      </c>
      <c r="AE33" s="18" t="n">
        <f aca="false">INDEX(Risk_Rules!$B$6:$B$11,MATCH(L33,Risk_Rules!$A$6:$A$11,0))</f>
        <v>20</v>
      </c>
      <c r="AF33" s="18" t="n">
        <f aca="false">INDEX(Risk_Rules!$B$15:$B$18,MATCH(M33,Risk_Rules!$A$15:$A$18,0))</f>
        <v>30</v>
      </c>
      <c r="AG33" s="18" t="n">
        <f aca="false">INDEX(Risk_Rules!$B$22:$B$23,MATCH(R33,Risk_Rules!$A$22:$A$23,0))</f>
        <v>0</v>
      </c>
      <c r="AH33" s="18" t="n">
        <f aca="false">Q33*Risk_Rules!$B$26</f>
        <v>0</v>
      </c>
      <c r="AI33" s="18" t="s">
        <v>262</v>
      </c>
      <c r="AJ33" s="18" t="n">
        <v>13.68</v>
      </c>
      <c r="AK33" s="18" t="s">
        <v>263</v>
      </c>
    </row>
    <row r="34" customFormat="false" ht="15" hidden="false" customHeight="false" outlineLevel="0" collapsed="false">
      <c r="A34" s="18" t="s">
        <v>264</v>
      </c>
      <c r="B34" s="18" t="s">
        <v>265</v>
      </c>
      <c r="C34" s="18" t="n">
        <v>22</v>
      </c>
      <c r="D34" s="18" t="n">
        <v>4.7</v>
      </c>
      <c r="E34" s="18" t="n">
        <v>12.310972</v>
      </c>
      <c r="F34" s="18" t="n">
        <v>76.659264</v>
      </c>
      <c r="G34" s="18" t="n">
        <v>12.420972</v>
      </c>
      <c r="H34" s="18" t="n">
        <v>76.769264</v>
      </c>
      <c r="I34" s="18" t="s">
        <v>73</v>
      </c>
      <c r="J34" s="18" t="s">
        <v>261</v>
      </c>
      <c r="K34" s="18" t="s">
        <v>266</v>
      </c>
      <c r="L34" s="18" t="s">
        <v>98</v>
      </c>
      <c r="M34" s="18" t="s">
        <v>228</v>
      </c>
      <c r="N34" s="18" t="n">
        <v>2</v>
      </c>
      <c r="O34" s="18" t="s">
        <v>130</v>
      </c>
      <c r="P34" s="18" t="s">
        <v>170</v>
      </c>
      <c r="Q34" s="18" t="n">
        <v>0</v>
      </c>
      <c r="R34" s="18" t="s">
        <v>79</v>
      </c>
      <c r="S34" s="18" t="s">
        <v>80</v>
      </c>
      <c r="T34" s="18" t="s">
        <v>81</v>
      </c>
      <c r="U34" s="18" t="n">
        <v>20.8</v>
      </c>
      <c r="V34" s="19" t="n">
        <v>46291.2112847222</v>
      </c>
      <c r="W34" s="22" t="n">
        <f aca="false">MIN(Risk_Rules!$B$27,AE34+AF34+AG34+AH34)</f>
        <v>50</v>
      </c>
      <c r="X34" s="22" t="str">
        <f aca="false">IF(W34&gt;=Risk_Rules!$B$31,"Critical",IF(W34&gt;=Risk_Rules!$B$32,"High",IF(W34&gt;=Risk_Rules!$B$33,"Medium","Low")))</f>
        <v>High</v>
      </c>
      <c r="Y34" s="18"/>
      <c r="Z34" s="18"/>
      <c r="AA34" s="18"/>
      <c r="AB34" s="18" t="s">
        <v>101</v>
      </c>
      <c r="AC34" s="18" t="s">
        <v>229</v>
      </c>
      <c r="AD34" s="18" t="s">
        <v>84</v>
      </c>
      <c r="AE34" s="18" t="n">
        <f aca="false">INDEX(Risk_Rules!$B$6:$B$11,MATCH(L34,Risk_Rules!$A$6:$A$11,0))</f>
        <v>20</v>
      </c>
      <c r="AF34" s="18" t="n">
        <f aca="false">INDEX(Risk_Rules!$B$15:$B$18,MATCH(M34,Risk_Rules!$A$15:$A$18,0))</f>
        <v>30</v>
      </c>
      <c r="AG34" s="18" t="n">
        <f aca="false">INDEX(Risk_Rules!$B$22:$B$23,MATCH(R34,Risk_Rules!$A$22:$A$23,0))</f>
        <v>0</v>
      </c>
      <c r="AH34" s="18" t="n">
        <f aca="false">Q34*Risk_Rules!$B$26</f>
        <v>0</v>
      </c>
      <c r="AI34" s="18" t="s">
        <v>267</v>
      </c>
      <c r="AJ34" s="18" t="n">
        <v>17.1</v>
      </c>
      <c r="AK34" s="18" t="s">
        <v>268</v>
      </c>
    </row>
    <row r="35" customFormat="false" ht="15" hidden="false" customHeight="false" outlineLevel="0" collapsed="false">
      <c r="A35" s="18" t="s">
        <v>269</v>
      </c>
      <c r="B35" s="18" t="s">
        <v>270</v>
      </c>
      <c r="C35" s="18" t="n">
        <v>24</v>
      </c>
      <c r="D35" s="18" t="n">
        <v>4.7</v>
      </c>
      <c r="E35" s="18" t="n">
        <v>22.551084</v>
      </c>
      <c r="F35" s="18" t="n">
        <v>88.354127</v>
      </c>
      <c r="G35" s="18" t="n">
        <v>22.621084</v>
      </c>
      <c r="H35" s="18" t="n">
        <v>88.424127</v>
      </c>
      <c r="I35" s="18" t="s">
        <v>73</v>
      </c>
      <c r="J35" s="18" t="s">
        <v>266</v>
      </c>
      <c r="K35" s="18" t="s">
        <v>271</v>
      </c>
      <c r="L35" s="18" t="s">
        <v>98</v>
      </c>
      <c r="M35" s="18" t="s">
        <v>228</v>
      </c>
      <c r="N35" s="18" t="n">
        <v>2</v>
      </c>
      <c r="O35" s="18" t="s">
        <v>77</v>
      </c>
      <c r="P35" s="18" t="s">
        <v>170</v>
      </c>
      <c r="Q35" s="18" t="n">
        <v>1</v>
      </c>
      <c r="R35" s="18" t="s">
        <v>79</v>
      </c>
      <c r="S35" s="18" t="s">
        <v>80</v>
      </c>
      <c r="T35" s="18" t="s">
        <v>81</v>
      </c>
      <c r="U35" s="18" t="n">
        <v>22.8</v>
      </c>
      <c r="V35" s="19" t="n">
        <v>46291.2112847222</v>
      </c>
      <c r="W35" s="22" t="n">
        <f aca="false">MIN(Risk_Rules!$B$27,AE35+AF35+AG35+AH35)</f>
        <v>60</v>
      </c>
      <c r="X35" s="22" t="str">
        <f aca="false">IF(W35&gt;=Risk_Rules!$B$31,"Critical",IF(W35&gt;=Risk_Rules!$B$32,"High",IF(W35&gt;=Risk_Rules!$B$33,"Medium","Low")))</f>
        <v>High</v>
      </c>
      <c r="Y35" s="18"/>
      <c r="Z35" s="18"/>
      <c r="AA35" s="18"/>
      <c r="AB35" s="18" t="s">
        <v>101</v>
      </c>
      <c r="AC35" s="18" t="s">
        <v>229</v>
      </c>
      <c r="AD35" s="18" t="s">
        <v>84</v>
      </c>
      <c r="AE35" s="18" t="n">
        <f aca="false">INDEX(Risk_Rules!$B$6:$B$11,MATCH(L35,Risk_Rules!$A$6:$A$11,0))</f>
        <v>20</v>
      </c>
      <c r="AF35" s="18" t="n">
        <f aca="false">INDEX(Risk_Rules!$B$15:$B$18,MATCH(M35,Risk_Rules!$A$15:$A$18,0))</f>
        <v>30</v>
      </c>
      <c r="AG35" s="18" t="n">
        <f aca="false">INDEX(Risk_Rules!$B$22:$B$23,MATCH(R35,Risk_Rules!$A$22:$A$23,0))</f>
        <v>0</v>
      </c>
      <c r="AH35" s="18" t="n">
        <f aca="false">Q35*Risk_Rules!$B$26</f>
        <v>10</v>
      </c>
      <c r="AI35" s="18" t="s">
        <v>272</v>
      </c>
      <c r="AJ35" s="18" t="n">
        <v>10.59</v>
      </c>
      <c r="AK35" s="18" t="s">
        <v>273</v>
      </c>
    </row>
    <row r="36" customFormat="false" ht="15" hidden="false" customHeight="false" outlineLevel="0" collapsed="false">
      <c r="A36" s="18" t="s">
        <v>274</v>
      </c>
      <c r="B36" s="18" t="s">
        <v>122</v>
      </c>
      <c r="C36" s="18" t="n">
        <v>23</v>
      </c>
      <c r="D36" s="18" t="n">
        <v>4.6</v>
      </c>
      <c r="E36" s="18" t="n">
        <v>9.979363</v>
      </c>
      <c r="F36" s="18" t="n">
        <v>76.285001</v>
      </c>
      <c r="G36" s="18" t="n">
        <v>10.089363</v>
      </c>
      <c r="H36" s="18" t="n">
        <v>76.395001</v>
      </c>
      <c r="I36" s="18" t="s">
        <v>73</v>
      </c>
      <c r="J36" s="18" t="s">
        <v>271</v>
      </c>
      <c r="K36" s="18" t="s">
        <v>275</v>
      </c>
      <c r="L36" s="18" t="s">
        <v>138</v>
      </c>
      <c r="M36" s="18" t="s">
        <v>228</v>
      </c>
      <c r="N36" s="18" t="n">
        <v>2</v>
      </c>
      <c r="O36" s="18" t="s">
        <v>91</v>
      </c>
      <c r="P36" s="18" t="s">
        <v>78</v>
      </c>
      <c r="Q36" s="18" t="n">
        <v>1</v>
      </c>
      <c r="R36" s="18" t="s">
        <v>79</v>
      </c>
      <c r="S36" s="18" t="s">
        <v>80</v>
      </c>
      <c r="T36" s="18" t="s">
        <v>81</v>
      </c>
      <c r="U36" s="18" t="n">
        <v>36.8</v>
      </c>
      <c r="V36" s="19" t="n">
        <v>46291.2112847222</v>
      </c>
      <c r="W36" s="22" t="n">
        <f aca="false">MIN(Risk_Rules!$B$27,AE36+AF36+AG36+AH36)</f>
        <v>60</v>
      </c>
      <c r="X36" s="22" t="str">
        <f aca="false">IF(W36&gt;=Risk_Rules!$B$31,"Critical",IF(W36&gt;=Risk_Rules!$B$32,"High",IF(W36&gt;=Risk_Rules!$B$33,"Medium","Low")))</f>
        <v>High</v>
      </c>
      <c r="Y36" s="18"/>
      <c r="Z36" s="18"/>
      <c r="AA36" s="18"/>
      <c r="AB36" s="18" t="s">
        <v>101</v>
      </c>
      <c r="AC36" s="18" t="s">
        <v>229</v>
      </c>
      <c r="AD36" s="18" t="s">
        <v>84</v>
      </c>
      <c r="AE36" s="18" t="n">
        <f aca="false">INDEX(Risk_Rules!$B$6:$B$11,MATCH(L36,Risk_Rules!$A$6:$A$11,0))</f>
        <v>20</v>
      </c>
      <c r="AF36" s="18" t="n">
        <f aca="false">INDEX(Risk_Rules!$B$15:$B$18,MATCH(M36,Risk_Rules!$A$15:$A$18,0))</f>
        <v>30</v>
      </c>
      <c r="AG36" s="18" t="n">
        <f aca="false">INDEX(Risk_Rules!$B$22:$B$23,MATCH(R36,Risk_Rules!$A$22:$A$23,0))</f>
        <v>0</v>
      </c>
      <c r="AH36" s="18" t="n">
        <f aca="false">Q36*Risk_Rules!$B$26</f>
        <v>10</v>
      </c>
      <c r="AI36" s="18" t="s">
        <v>230</v>
      </c>
      <c r="AJ36" s="18" t="n">
        <v>17.17</v>
      </c>
      <c r="AK36" s="18" t="s">
        <v>276</v>
      </c>
    </row>
    <row r="37" customFormat="false" ht="15" hidden="false" customHeight="false" outlineLevel="0" collapsed="false">
      <c r="A37" s="18" t="s">
        <v>277</v>
      </c>
      <c r="B37" s="18" t="s">
        <v>278</v>
      </c>
      <c r="C37" s="18" t="n">
        <v>21</v>
      </c>
      <c r="D37" s="18" t="n">
        <v>4.7</v>
      </c>
      <c r="E37" s="18" t="n">
        <v>22.569358</v>
      </c>
      <c r="F37" s="18" t="n">
        <v>88.433452</v>
      </c>
      <c r="G37" s="18" t="n">
        <v>22.629358</v>
      </c>
      <c r="H37" s="18" t="n">
        <v>88.493452</v>
      </c>
      <c r="I37" s="18" t="s">
        <v>73</v>
      </c>
      <c r="J37" s="18" t="s">
        <v>279</v>
      </c>
      <c r="K37" s="18" t="s">
        <v>275</v>
      </c>
      <c r="L37" s="18" t="s">
        <v>138</v>
      </c>
      <c r="M37" s="18" t="s">
        <v>228</v>
      </c>
      <c r="N37" s="18" t="n">
        <v>1</v>
      </c>
      <c r="O37" s="18" t="s">
        <v>99</v>
      </c>
      <c r="P37" s="18" t="s">
        <v>92</v>
      </c>
      <c r="Q37" s="18" t="n">
        <v>1</v>
      </c>
      <c r="R37" s="18" t="s">
        <v>79</v>
      </c>
      <c r="S37" s="18" t="s">
        <v>80</v>
      </c>
      <c r="T37" s="18" t="s">
        <v>81</v>
      </c>
      <c r="U37" s="18" t="n">
        <v>27.8</v>
      </c>
      <c r="V37" s="19" t="n">
        <v>46291.2112847222</v>
      </c>
      <c r="W37" s="22" t="n">
        <f aca="false">MIN(Risk_Rules!$B$27,AE37+AF37+AG37+AH37)</f>
        <v>60</v>
      </c>
      <c r="X37" s="22" t="str">
        <f aca="false">IF(W37&gt;=Risk_Rules!$B$31,"Critical",IF(W37&gt;=Risk_Rules!$B$32,"High",IF(W37&gt;=Risk_Rules!$B$33,"Medium","Low")))</f>
        <v>High</v>
      </c>
      <c r="Y37" s="18"/>
      <c r="Z37" s="18"/>
      <c r="AA37" s="18"/>
      <c r="AB37" s="18" t="s">
        <v>101</v>
      </c>
      <c r="AC37" s="18" t="s">
        <v>229</v>
      </c>
      <c r="AD37" s="18" t="s">
        <v>84</v>
      </c>
      <c r="AE37" s="18" t="n">
        <f aca="false">INDEX(Risk_Rules!$B$6:$B$11,MATCH(L37,Risk_Rules!$A$6:$A$11,0))</f>
        <v>20</v>
      </c>
      <c r="AF37" s="18" t="n">
        <f aca="false">INDEX(Risk_Rules!$B$15:$B$18,MATCH(M37,Risk_Rules!$A$15:$A$18,0))</f>
        <v>30</v>
      </c>
      <c r="AG37" s="18" t="n">
        <f aca="false">INDEX(Risk_Rules!$B$22:$B$23,MATCH(R37,Risk_Rules!$A$22:$A$23,0))</f>
        <v>0</v>
      </c>
      <c r="AH37" s="18" t="n">
        <f aca="false">Q37*Risk_Rules!$B$26</f>
        <v>10</v>
      </c>
      <c r="AI37" s="18" t="s">
        <v>230</v>
      </c>
      <c r="AJ37" s="18" t="n">
        <v>9.08</v>
      </c>
      <c r="AK37" s="18" t="s">
        <v>280</v>
      </c>
    </row>
    <row r="38" customFormat="false" ht="15" hidden="false" customHeight="false" outlineLevel="0" collapsed="false">
      <c r="A38" s="18" t="s">
        <v>281</v>
      </c>
      <c r="B38" s="18" t="s">
        <v>282</v>
      </c>
      <c r="C38" s="18" t="n">
        <v>30</v>
      </c>
      <c r="D38" s="18" t="n">
        <v>5</v>
      </c>
      <c r="E38" s="18" t="n">
        <v>26.911378</v>
      </c>
      <c r="F38" s="18" t="n">
        <v>75.789034</v>
      </c>
      <c r="G38" s="18" t="n">
        <v>27.001378</v>
      </c>
      <c r="H38" s="18" t="n">
        <v>75.879034</v>
      </c>
      <c r="I38" s="18" t="s">
        <v>73</v>
      </c>
      <c r="J38" s="18" t="s">
        <v>275</v>
      </c>
      <c r="K38" s="18" t="s">
        <v>283</v>
      </c>
      <c r="L38" s="18" t="s">
        <v>90</v>
      </c>
      <c r="M38" s="18" t="s">
        <v>228</v>
      </c>
      <c r="N38" s="18" t="n">
        <v>1</v>
      </c>
      <c r="O38" s="18" t="s">
        <v>130</v>
      </c>
      <c r="P38" s="18" t="s">
        <v>92</v>
      </c>
      <c r="Q38" s="18" t="n">
        <v>1</v>
      </c>
      <c r="R38" s="18" t="s">
        <v>79</v>
      </c>
      <c r="S38" s="18" t="s">
        <v>80</v>
      </c>
      <c r="T38" s="18" t="s">
        <v>81</v>
      </c>
      <c r="U38" s="18" t="n">
        <v>22.4</v>
      </c>
      <c r="V38" s="19" t="n">
        <v>46291.2112847222</v>
      </c>
      <c r="W38" s="21" t="n">
        <f aca="false">MIN(Risk_Rules!$B$27,AE38+AF38+AG38+AH38)</f>
        <v>40</v>
      </c>
      <c r="X38" s="21" t="str">
        <f aca="false">IF(W38&gt;=Risk_Rules!$B$31,"Critical",IF(W38&gt;=Risk_Rules!$B$32,"High",IF(W38&gt;=Risk_Rules!$B$33,"Medium","Low")))</f>
        <v>Medium</v>
      </c>
      <c r="Y38" s="18"/>
      <c r="Z38" s="18"/>
      <c r="AA38" s="18"/>
      <c r="AB38" s="18" t="s">
        <v>93</v>
      </c>
      <c r="AC38" s="18" t="s">
        <v>229</v>
      </c>
      <c r="AD38" s="18" t="s">
        <v>84</v>
      </c>
      <c r="AE38" s="18" t="n">
        <f aca="false">INDEX(Risk_Rules!$B$6:$B$11,MATCH(L38,Risk_Rules!$A$6:$A$11,0))</f>
        <v>0</v>
      </c>
      <c r="AF38" s="18" t="n">
        <f aca="false">INDEX(Risk_Rules!$B$15:$B$18,MATCH(M38,Risk_Rules!$A$15:$A$18,0))</f>
        <v>30</v>
      </c>
      <c r="AG38" s="18" t="n">
        <f aca="false">INDEX(Risk_Rules!$B$22:$B$23,MATCH(R38,Risk_Rules!$A$22:$A$23,0))</f>
        <v>0</v>
      </c>
      <c r="AH38" s="18" t="n">
        <f aca="false">Q38*Risk_Rules!$B$26</f>
        <v>10</v>
      </c>
      <c r="AI38" s="18" t="s">
        <v>241</v>
      </c>
      <c r="AJ38" s="18" t="n">
        <v>13.41</v>
      </c>
      <c r="AK38" s="18" t="s">
        <v>280</v>
      </c>
    </row>
    <row r="39" customFormat="false" ht="15" hidden="false" customHeight="false" outlineLevel="0" collapsed="false">
      <c r="A39" s="18" t="s">
        <v>284</v>
      </c>
      <c r="B39" s="18" t="s">
        <v>285</v>
      </c>
      <c r="C39" s="18" t="n">
        <v>30</v>
      </c>
      <c r="D39" s="18" t="n">
        <v>4.9</v>
      </c>
      <c r="E39" s="18" t="n">
        <v>18.927584</v>
      </c>
      <c r="F39" s="18" t="n">
        <v>72.832585</v>
      </c>
      <c r="G39" s="18" t="n">
        <v>19.007584</v>
      </c>
      <c r="H39" s="18" t="n">
        <v>72.912585</v>
      </c>
      <c r="I39" s="18" t="s">
        <v>73</v>
      </c>
      <c r="J39" s="18" t="s">
        <v>286</v>
      </c>
      <c r="K39" s="18" t="s">
        <v>287</v>
      </c>
      <c r="L39" s="18" t="s">
        <v>90</v>
      </c>
      <c r="M39" s="18" t="s">
        <v>228</v>
      </c>
      <c r="N39" s="18" t="n">
        <v>0</v>
      </c>
      <c r="O39" s="18" t="s">
        <v>91</v>
      </c>
      <c r="P39" s="18" t="s">
        <v>92</v>
      </c>
      <c r="Q39" s="18" t="n">
        <v>1</v>
      </c>
      <c r="R39" s="18" t="s">
        <v>79</v>
      </c>
      <c r="S39" s="18" t="s">
        <v>80</v>
      </c>
      <c r="T39" s="18" t="s">
        <v>81</v>
      </c>
      <c r="U39" s="18" t="n">
        <v>29.8</v>
      </c>
      <c r="V39" s="19" t="n">
        <v>46291.2112847222</v>
      </c>
      <c r="W39" s="21" t="n">
        <f aca="false">MIN(Risk_Rules!$B$27,AE39+AF39+AG39+AH39)</f>
        <v>40</v>
      </c>
      <c r="X39" s="21" t="str">
        <f aca="false">IF(W39&gt;=Risk_Rules!$B$31,"Critical",IF(W39&gt;=Risk_Rules!$B$32,"High",IF(W39&gt;=Risk_Rules!$B$33,"Medium","Low")))</f>
        <v>Medium</v>
      </c>
      <c r="Y39" s="18"/>
      <c r="Z39" s="18"/>
      <c r="AA39" s="18"/>
      <c r="AB39" s="18" t="s">
        <v>93</v>
      </c>
      <c r="AC39" s="18" t="s">
        <v>229</v>
      </c>
      <c r="AD39" s="18" t="s">
        <v>84</v>
      </c>
      <c r="AE39" s="18" t="n">
        <f aca="false">INDEX(Risk_Rules!$B$6:$B$11,MATCH(L39,Risk_Rules!$A$6:$A$11,0))</f>
        <v>0</v>
      </c>
      <c r="AF39" s="18" t="n">
        <f aca="false">INDEX(Risk_Rules!$B$15:$B$18,MATCH(M39,Risk_Rules!$A$15:$A$18,0))</f>
        <v>30</v>
      </c>
      <c r="AG39" s="18" t="n">
        <f aca="false">INDEX(Risk_Rules!$B$22:$B$23,MATCH(R39,Risk_Rules!$A$22:$A$23,0))</f>
        <v>0</v>
      </c>
      <c r="AH39" s="18" t="n">
        <f aca="false">Q39*Risk_Rules!$B$26</f>
        <v>10</v>
      </c>
      <c r="AI39" s="18" t="s">
        <v>241</v>
      </c>
      <c r="AJ39" s="18" t="n">
        <v>12.24</v>
      </c>
      <c r="AK39" s="18" t="s">
        <v>288</v>
      </c>
    </row>
    <row r="40" customFormat="false" ht="15" hidden="false" customHeight="false" outlineLevel="0" collapsed="false">
      <c r="A40" s="18" t="s">
        <v>289</v>
      </c>
      <c r="B40" s="18" t="s">
        <v>111</v>
      </c>
      <c r="C40" s="18" t="n">
        <v>38</v>
      </c>
      <c r="D40" s="18" t="n">
        <v>4.7</v>
      </c>
      <c r="E40" s="18" t="n">
        <v>12.323194</v>
      </c>
      <c r="F40" s="18" t="n">
        <v>76.630583</v>
      </c>
      <c r="G40" s="18" t="n">
        <v>12.373194</v>
      </c>
      <c r="H40" s="18" t="n">
        <v>76.680583</v>
      </c>
      <c r="I40" s="18" t="s">
        <v>73</v>
      </c>
      <c r="J40" s="18" t="s">
        <v>290</v>
      </c>
      <c r="K40" s="18" t="s">
        <v>291</v>
      </c>
      <c r="L40" s="18" t="s">
        <v>76</v>
      </c>
      <c r="M40" s="18" t="s">
        <v>228</v>
      </c>
      <c r="N40" s="18" t="n">
        <v>0</v>
      </c>
      <c r="O40" s="18" t="s">
        <v>77</v>
      </c>
      <c r="P40" s="18" t="s">
        <v>92</v>
      </c>
      <c r="Q40" s="18" t="n">
        <v>1</v>
      </c>
      <c r="R40" s="18" t="s">
        <v>79</v>
      </c>
      <c r="S40" s="18" t="s">
        <v>80</v>
      </c>
      <c r="T40" s="18" t="s">
        <v>81</v>
      </c>
      <c r="U40" s="18" t="n">
        <v>37</v>
      </c>
      <c r="V40" s="19" t="n">
        <v>46291.2112847222</v>
      </c>
      <c r="W40" s="22" t="n">
        <f aca="false">MIN(Risk_Rules!$B$27,AE40+AF40+AG40+AH40)</f>
        <v>50</v>
      </c>
      <c r="X40" s="22" t="str">
        <f aca="false">IF(W40&gt;=Risk_Rules!$B$31,"Critical",IF(W40&gt;=Risk_Rules!$B$32,"High",IF(W40&gt;=Risk_Rules!$B$33,"Medium","Low")))</f>
        <v>High</v>
      </c>
      <c r="Y40" s="18"/>
      <c r="Z40" s="18"/>
      <c r="AA40" s="18"/>
      <c r="AB40" s="18" t="s">
        <v>82</v>
      </c>
      <c r="AC40" s="18" t="s">
        <v>229</v>
      </c>
      <c r="AD40" s="18" t="s">
        <v>84</v>
      </c>
      <c r="AE40" s="18" t="n">
        <f aca="false">INDEX(Risk_Rules!$B$6:$B$11,MATCH(L40,Risk_Rules!$A$6:$A$11,0))</f>
        <v>10</v>
      </c>
      <c r="AF40" s="18" t="n">
        <f aca="false">INDEX(Risk_Rules!$B$15:$B$18,MATCH(M40,Risk_Rules!$A$15:$A$18,0))</f>
        <v>30</v>
      </c>
      <c r="AG40" s="18" t="n">
        <f aca="false">INDEX(Risk_Rules!$B$22:$B$23,MATCH(R40,Risk_Rules!$A$22:$A$23,0))</f>
        <v>0</v>
      </c>
      <c r="AH40" s="18" t="n">
        <f aca="false">Q40*Risk_Rules!$B$26</f>
        <v>10</v>
      </c>
      <c r="AI40" s="18" t="s">
        <v>236</v>
      </c>
      <c r="AJ40" s="18" t="n">
        <v>7.77</v>
      </c>
      <c r="AK40" s="18" t="s">
        <v>292</v>
      </c>
    </row>
    <row r="41" customFormat="false" ht="15" hidden="false" customHeight="false" outlineLevel="0" collapsed="false">
      <c r="A41" s="18" t="s">
        <v>293</v>
      </c>
      <c r="B41" s="18" t="s">
        <v>294</v>
      </c>
      <c r="C41" s="18" t="n">
        <v>38</v>
      </c>
      <c r="D41" s="18" t="n">
        <v>4.8</v>
      </c>
      <c r="E41" s="18" t="n">
        <v>22.311358</v>
      </c>
      <c r="F41" s="18" t="n">
        <v>73.164798</v>
      </c>
      <c r="G41" s="18" t="n">
        <v>22.381358</v>
      </c>
      <c r="H41" s="18" t="n">
        <v>73.234798</v>
      </c>
      <c r="I41" s="18" t="s">
        <v>73</v>
      </c>
      <c r="J41" s="18" t="s">
        <v>291</v>
      </c>
      <c r="K41" s="18" t="s">
        <v>295</v>
      </c>
      <c r="L41" s="18" t="s">
        <v>169</v>
      </c>
      <c r="M41" s="18" t="s">
        <v>228</v>
      </c>
      <c r="N41" s="18" t="n">
        <v>2</v>
      </c>
      <c r="O41" s="18" t="s">
        <v>91</v>
      </c>
      <c r="P41" s="18" t="s">
        <v>78</v>
      </c>
      <c r="Q41" s="18" t="n">
        <v>1</v>
      </c>
      <c r="R41" s="18" t="s">
        <v>79</v>
      </c>
      <c r="S41" s="18" t="s">
        <v>80</v>
      </c>
      <c r="T41" s="18" t="s">
        <v>81</v>
      </c>
      <c r="U41" s="18" t="n">
        <v>39.7</v>
      </c>
      <c r="V41" s="19" t="n">
        <v>46291.2112847222</v>
      </c>
      <c r="W41" s="22" t="n">
        <f aca="false">MIN(Risk_Rules!$B$27,AE41+AF41+AG41+AH41)</f>
        <v>60</v>
      </c>
      <c r="X41" s="22" t="str">
        <f aca="false">IF(W41&gt;=Risk_Rules!$B$31,"Critical",IF(W41&gt;=Risk_Rules!$B$32,"High",IF(W41&gt;=Risk_Rules!$B$33,"Medium","Low")))</f>
        <v>High</v>
      </c>
      <c r="Y41" s="18"/>
      <c r="Z41" s="18"/>
      <c r="AA41" s="18"/>
      <c r="AB41" s="18" t="s">
        <v>101</v>
      </c>
      <c r="AC41" s="18" t="s">
        <v>229</v>
      </c>
      <c r="AD41" s="18" t="s">
        <v>84</v>
      </c>
      <c r="AE41" s="18" t="n">
        <f aca="false">INDEX(Risk_Rules!$B$6:$B$11,MATCH(L41,Risk_Rules!$A$6:$A$11,0))</f>
        <v>20</v>
      </c>
      <c r="AF41" s="18" t="n">
        <f aca="false">INDEX(Risk_Rules!$B$15:$B$18,MATCH(M41,Risk_Rules!$A$15:$A$18,0))</f>
        <v>30</v>
      </c>
      <c r="AG41" s="18" t="n">
        <f aca="false">INDEX(Risk_Rules!$B$22:$B$23,MATCH(R41,Risk_Rules!$A$22:$A$23,0))</f>
        <v>0</v>
      </c>
      <c r="AH41" s="18" t="n">
        <f aca="false">Q41*Risk_Rules!$B$26</f>
        <v>10</v>
      </c>
      <c r="AI41" s="18" t="s">
        <v>296</v>
      </c>
      <c r="AJ41" s="18" t="n">
        <v>10.6</v>
      </c>
      <c r="AK41" s="18" t="s">
        <v>297</v>
      </c>
    </row>
    <row r="42" customFormat="false" ht="15" hidden="false" customHeight="false" outlineLevel="0" collapsed="false">
      <c r="A42" s="18" t="s">
        <v>298</v>
      </c>
      <c r="B42" s="18" t="s">
        <v>299</v>
      </c>
      <c r="C42" s="18" t="n">
        <v>24</v>
      </c>
      <c r="D42" s="18" t="n">
        <v>4.8</v>
      </c>
      <c r="E42" s="18" t="n">
        <v>11.022298</v>
      </c>
      <c r="F42" s="18" t="n">
        <v>76.998349</v>
      </c>
      <c r="G42" s="18" t="n">
        <v>11.052298</v>
      </c>
      <c r="H42" s="18" t="n">
        <v>77.028349</v>
      </c>
      <c r="I42" s="18" t="s">
        <v>73</v>
      </c>
      <c r="J42" s="18" t="s">
        <v>295</v>
      </c>
      <c r="K42" s="18" t="s">
        <v>300</v>
      </c>
      <c r="L42" s="18" t="s">
        <v>169</v>
      </c>
      <c r="M42" s="18" t="s">
        <v>228</v>
      </c>
      <c r="N42" s="18" t="n">
        <v>2</v>
      </c>
      <c r="O42" s="18" t="s">
        <v>99</v>
      </c>
      <c r="P42" s="18" t="s">
        <v>78</v>
      </c>
      <c r="Q42" s="18" t="n">
        <v>1</v>
      </c>
      <c r="R42" s="18" t="s">
        <v>79</v>
      </c>
      <c r="S42" s="18" t="s">
        <v>80</v>
      </c>
      <c r="T42" s="18" t="s">
        <v>81</v>
      </c>
      <c r="U42" s="18" t="n">
        <v>26.9</v>
      </c>
      <c r="V42" s="19" t="n">
        <v>46291.2112847222</v>
      </c>
      <c r="W42" s="22" t="n">
        <f aca="false">MIN(Risk_Rules!$B$27,AE42+AF42+AG42+AH42)</f>
        <v>60</v>
      </c>
      <c r="X42" s="22" t="str">
        <f aca="false">IF(W42&gt;=Risk_Rules!$B$31,"Critical",IF(W42&gt;=Risk_Rules!$B$32,"High",IF(W42&gt;=Risk_Rules!$B$33,"Medium","Low")))</f>
        <v>High</v>
      </c>
      <c r="Y42" s="18"/>
      <c r="Z42" s="18"/>
      <c r="AA42" s="18"/>
      <c r="AB42" s="18" t="s">
        <v>101</v>
      </c>
      <c r="AC42" s="18" t="s">
        <v>229</v>
      </c>
      <c r="AD42" s="18" t="s">
        <v>84</v>
      </c>
      <c r="AE42" s="18" t="n">
        <f aca="false">INDEX(Risk_Rules!$B$6:$B$11,MATCH(L42,Risk_Rules!$A$6:$A$11,0))</f>
        <v>20</v>
      </c>
      <c r="AF42" s="18" t="n">
        <f aca="false">INDEX(Risk_Rules!$B$15:$B$18,MATCH(M42,Risk_Rules!$A$15:$A$18,0))</f>
        <v>30</v>
      </c>
      <c r="AG42" s="18" t="n">
        <f aca="false">INDEX(Risk_Rules!$B$22:$B$23,MATCH(R42,Risk_Rules!$A$22:$A$23,0))</f>
        <v>0</v>
      </c>
      <c r="AH42" s="18" t="n">
        <f aca="false">Q42*Risk_Rules!$B$26</f>
        <v>10</v>
      </c>
      <c r="AI42" s="18" t="s">
        <v>296</v>
      </c>
      <c r="AJ42" s="18" t="n">
        <v>4.67</v>
      </c>
      <c r="AK42" s="18" t="s">
        <v>301</v>
      </c>
    </row>
    <row r="43" customFormat="false" ht="15" hidden="false" customHeight="false" outlineLevel="0" collapsed="false">
      <c r="A43" s="18" t="s">
        <v>302</v>
      </c>
      <c r="B43" s="18" t="s">
        <v>303</v>
      </c>
      <c r="C43" s="18" t="n">
        <v>30</v>
      </c>
      <c r="D43" s="18" t="n">
        <v>4.9</v>
      </c>
      <c r="E43" s="18" t="n">
        <v>12.972532</v>
      </c>
      <c r="F43" s="18" t="n">
        <v>77.608179</v>
      </c>
      <c r="G43" s="18" t="n">
        <v>13.062532</v>
      </c>
      <c r="H43" s="18" t="n">
        <v>77.698179</v>
      </c>
      <c r="I43" s="18" t="s">
        <v>73</v>
      </c>
      <c r="J43" s="18" t="s">
        <v>304</v>
      </c>
      <c r="K43" s="18" t="s">
        <v>305</v>
      </c>
      <c r="L43" s="18" t="s">
        <v>123</v>
      </c>
      <c r="M43" s="18" t="s">
        <v>10</v>
      </c>
      <c r="N43" s="18" t="n">
        <v>0</v>
      </c>
      <c r="O43" s="18" t="s">
        <v>77</v>
      </c>
      <c r="P43" s="18" t="s">
        <v>92</v>
      </c>
      <c r="Q43" s="18" t="n">
        <v>1</v>
      </c>
      <c r="R43" s="18" t="s">
        <v>79</v>
      </c>
      <c r="S43" s="18" t="s">
        <v>80</v>
      </c>
      <c r="T43" s="18" t="s">
        <v>81</v>
      </c>
      <c r="U43" s="18" t="n">
        <v>23.2</v>
      </c>
      <c r="V43" s="19" t="n">
        <v>46291.2112847222</v>
      </c>
      <c r="W43" s="21" t="n">
        <f aca="false">MIN(Risk_Rules!$B$27,AE43+AF43+AG43+AH43)</f>
        <v>30</v>
      </c>
      <c r="X43" s="21" t="str">
        <f aca="false">IF(W43&gt;=Risk_Rules!$B$31,"Critical",IF(W43&gt;=Risk_Rules!$B$32,"High",IF(W43&gt;=Risk_Rules!$B$33,"Medium","Low")))</f>
        <v>Medium</v>
      </c>
      <c r="Y43" s="18"/>
      <c r="Z43" s="18"/>
      <c r="AA43" s="18"/>
      <c r="AB43" s="18" t="s">
        <v>101</v>
      </c>
      <c r="AC43" s="18" t="s">
        <v>83</v>
      </c>
      <c r="AD43" s="18" t="s">
        <v>84</v>
      </c>
      <c r="AE43" s="18" t="n">
        <f aca="false">INDEX(Risk_Rules!$B$6:$B$11,MATCH(L43,Risk_Rules!$A$6:$A$11,0))</f>
        <v>20</v>
      </c>
      <c r="AF43" s="18" t="n">
        <f aca="false">INDEX(Risk_Rules!$B$15:$B$18,MATCH(M43,Risk_Rules!$A$15:$A$18,0))</f>
        <v>0</v>
      </c>
      <c r="AG43" s="18" t="n">
        <f aca="false">INDEX(Risk_Rules!$B$22:$B$23,MATCH(R43,Risk_Rules!$A$22:$A$23,0))</f>
        <v>0</v>
      </c>
      <c r="AH43" s="18" t="n">
        <f aca="false">Q43*Risk_Rules!$B$26</f>
        <v>10</v>
      </c>
      <c r="AI43" s="18" t="s">
        <v>124</v>
      </c>
      <c r="AJ43" s="18" t="n">
        <v>13.97</v>
      </c>
      <c r="AK43" s="18" t="s">
        <v>306</v>
      </c>
    </row>
    <row r="44" customFormat="false" ht="15" hidden="false" customHeight="false" outlineLevel="0" collapsed="false">
      <c r="A44" s="18" t="s">
        <v>307</v>
      </c>
      <c r="B44" s="18" t="s">
        <v>308</v>
      </c>
      <c r="C44" s="18" t="n">
        <v>21</v>
      </c>
      <c r="D44" s="18" t="n">
        <v>4.9</v>
      </c>
      <c r="E44" s="18" t="n">
        <v>12.914264</v>
      </c>
      <c r="F44" s="18" t="n">
        <v>77.6784</v>
      </c>
      <c r="G44" s="18" t="n">
        <v>12.964264</v>
      </c>
      <c r="H44" s="18" t="n">
        <v>77.7284</v>
      </c>
      <c r="I44" s="18" t="s">
        <v>73</v>
      </c>
      <c r="J44" s="18" t="s">
        <v>309</v>
      </c>
      <c r="K44" s="18" t="s">
        <v>310</v>
      </c>
      <c r="L44" s="18" t="s">
        <v>90</v>
      </c>
      <c r="M44" s="18" t="s">
        <v>10</v>
      </c>
      <c r="N44" s="18" t="n">
        <v>2</v>
      </c>
      <c r="O44" s="18" t="s">
        <v>77</v>
      </c>
      <c r="P44" s="18" t="s">
        <v>170</v>
      </c>
      <c r="Q44" s="18" t="n">
        <v>0</v>
      </c>
      <c r="R44" s="18" t="s">
        <v>79</v>
      </c>
      <c r="S44" s="18" t="s">
        <v>80</v>
      </c>
      <c r="T44" s="18" t="s">
        <v>81</v>
      </c>
      <c r="U44" s="18" t="n">
        <v>18.5</v>
      </c>
      <c r="V44" s="19" t="n">
        <v>46291.2112847222</v>
      </c>
      <c r="W44" s="20" t="n">
        <f aca="false">MIN(Risk_Rules!$B$27,AE44+AF44+AG44+AH44)</f>
        <v>0</v>
      </c>
      <c r="X44" s="20" t="str">
        <f aca="false">IF(W44&gt;=Risk_Rules!$B$31,"Critical",IF(W44&gt;=Risk_Rules!$B$32,"High",IF(W44&gt;=Risk_Rules!$B$33,"Medium","Low")))</f>
        <v>Low</v>
      </c>
      <c r="Y44" s="18"/>
      <c r="Z44" s="18"/>
      <c r="AA44" s="18"/>
      <c r="AB44" s="18" t="s">
        <v>93</v>
      </c>
      <c r="AC44" s="18" t="s">
        <v>83</v>
      </c>
      <c r="AD44" s="18" t="s">
        <v>84</v>
      </c>
      <c r="AE44" s="18" t="n">
        <f aca="false">INDEX(Risk_Rules!$B$6:$B$11,MATCH(L44,Risk_Rules!$A$6:$A$11,0))</f>
        <v>0</v>
      </c>
      <c r="AF44" s="18" t="n">
        <f aca="false">INDEX(Risk_Rules!$B$15:$B$18,MATCH(M44,Risk_Rules!$A$15:$A$18,0))</f>
        <v>0</v>
      </c>
      <c r="AG44" s="18" t="n">
        <f aca="false">INDEX(Risk_Rules!$B$22:$B$23,MATCH(R44,Risk_Rules!$A$22:$A$23,0))</f>
        <v>0</v>
      </c>
      <c r="AH44" s="18" t="n">
        <f aca="false">Q44*Risk_Rules!$B$26</f>
        <v>0</v>
      </c>
      <c r="AI44" s="18" t="s">
        <v>311</v>
      </c>
      <c r="AJ44" s="18" t="n">
        <v>7.76</v>
      </c>
      <c r="AK44" s="18" t="s">
        <v>312</v>
      </c>
    </row>
    <row r="45" customFormat="false" ht="15" hidden="false" customHeight="false" outlineLevel="0" collapsed="false">
      <c r="A45" s="18" t="s">
        <v>313</v>
      </c>
      <c r="B45" s="18" t="s">
        <v>314</v>
      </c>
      <c r="C45" s="18" t="n">
        <v>27</v>
      </c>
      <c r="D45" s="18" t="n">
        <v>4.9</v>
      </c>
      <c r="E45" s="18" t="n">
        <v>12.981615</v>
      </c>
      <c r="F45" s="18" t="n">
        <v>80.231598</v>
      </c>
      <c r="G45" s="18" t="n">
        <v>13.071615</v>
      </c>
      <c r="H45" s="18" t="n">
        <v>80.321598</v>
      </c>
      <c r="I45" s="18" t="s">
        <v>73</v>
      </c>
      <c r="J45" s="18" t="s">
        <v>315</v>
      </c>
      <c r="K45" s="18" t="s">
        <v>316</v>
      </c>
      <c r="L45" s="18" t="s">
        <v>123</v>
      </c>
      <c r="M45" s="18" t="s">
        <v>10</v>
      </c>
      <c r="N45" s="18" t="n">
        <v>1</v>
      </c>
      <c r="O45" s="18" t="s">
        <v>77</v>
      </c>
      <c r="P45" s="18" t="s">
        <v>92</v>
      </c>
      <c r="Q45" s="18" t="n">
        <v>1</v>
      </c>
      <c r="R45" s="18" t="s">
        <v>79</v>
      </c>
      <c r="S45" s="18" t="s">
        <v>100</v>
      </c>
      <c r="T45" s="18" t="s">
        <v>81</v>
      </c>
      <c r="U45" s="18" t="n">
        <v>15.7</v>
      </c>
      <c r="V45" s="19" t="n">
        <v>46291.2112847222</v>
      </c>
      <c r="W45" s="21" t="n">
        <f aca="false">MIN(Risk_Rules!$B$27,AE45+AF45+AG45+AH45)</f>
        <v>30</v>
      </c>
      <c r="X45" s="21" t="str">
        <f aca="false">IF(W45&gt;=Risk_Rules!$B$31,"Critical",IF(W45&gt;=Risk_Rules!$B$32,"High",IF(W45&gt;=Risk_Rules!$B$33,"Medium","Low")))</f>
        <v>Medium</v>
      </c>
      <c r="Y45" s="18"/>
      <c r="Z45" s="18"/>
      <c r="AA45" s="18"/>
      <c r="AB45" s="18" t="s">
        <v>101</v>
      </c>
      <c r="AC45" s="18" t="s">
        <v>83</v>
      </c>
      <c r="AD45" s="18" t="s">
        <v>84</v>
      </c>
      <c r="AE45" s="18" t="n">
        <f aca="false">INDEX(Risk_Rules!$B$6:$B$11,MATCH(L45,Risk_Rules!$A$6:$A$11,0))</f>
        <v>20</v>
      </c>
      <c r="AF45" s="18" t="n">
        <f aca="false">INDEX(Risk_Rules!$B$15:$B$18,MATCH(M45,Risk_Rules!$A$15:$A$18,0))</f>
        <v>0</v>
      </c>
      <c r="AG45" s="18" t="n">
        <f aca="false">INDEX(Risk_Rules!$B$22:$B$23,MATCH(R45,Risk_Rules!$A$22:$A$23,0))</f>
        <v>0</v>
      </c>
      <c r="AH45" s="18" t="n">
        <f aca="false">Q45*Risk_Rules!$B$26</f>
        <v>10</v>
      </c>
      <c r="AI45" s="18" t="s">
        <v>124</v>
      </c>
      <c r="AJ45" s="18" t="n">
        <v>13.97</v>
      </c>
      <c r="AK45" s="18" t="s">
        <v>317</v>
      </c>
    </row>
    <row r="46" customFormat="false" ht="15" hidden="false" customHeight="false" outlineLevel="0" collapsed="false">
      <c r="A46" s="18" t="s">
        <v>318</v>
      </c>
      <c r="B46" s="18" t="s">
        <v>319</v>
      </c>
      <c r="C46" s="18" t="n">
        <v>31</v>
      </c>
      <c r="D46" s="18" t="n">
        <v>4.8</v>
      </c>
      <c r="E46" s="18" t="n">
        <v>30.893081</v>
      </c>
      <c r="F46" s="18" t="n">
        <v>75.821495</v>
      </c>
      <c r="G46" s="18" t="n">
        <v>31.003081</v>
      </c>
      <c r="H46" s="18" t="n">
        <v>75.931495</v>
      </c>
      <c r="I46" s="18" t="s">
        <v>73</v>
      </c>
      <c r="J46" s="18" t="s">
        <v>310</v>
      </c>
      <c r="K46" s="18" t="s">
        <v>320</v>
      </c>
      <c r="L46" s="18" t="s">
        <v>138</v>
      </c>
      <c r="M46" s="18" t="s">
        <v>10</v>
      </c>
      <c r="N46" s="18" t="n">
        <v>0</v>
      </c>
      <c r="O46" s="18" t="s">
        <v>77</v>
      </c>
      <c r="P46" s="18" t="s">
        <v>92</v>
      </c>
      <c r="Q46" s="18" t="n">
        <v>1</v>
      </c>
      <c r="R46" s="18" t="s">
        <v>79</v>
      </c>
      <c r="S46" s="18" t="s">
        <v>100</v>
      </c>
      <c r="T46" s="18" t="s">
        <v>81</v>
      </c>
      <c r="U46" s="18" t="n">
        <v>36.8</v>
      </c>
      <c r="V46" s="19" t="n">
        <v>46291.2112847222</v>
      </c>
      <c r="W46" s="21" t="n">
        <f aca="false">MIN(Risk_Rules!$B$27,AE46+AF46+AG46+AH46)</f>
        <v>30</v>
      </c>
      <c r="X46" s="21" t="str">
        <f aca="false">IF(W46&gt;=Risk_Rules!$B$31,"Critical",IF(W46&gt;=Risk_Rules!$B$32,"High",IF(W46&gt;=Risk_Rules!$B$33,"Medium","Low")))</f>
        <v>Medium</v>
      </c>
      <c r="Y46" s="18"/>
      <c r="Z46" s="18"/>
      <c r="AA46" s="18"/>
      <c r="AB46" s="18" t="s">
        <v>101</v>
      </c>
      <c r="AC46" s="18" t="s">
        <v>83</v>
      </c>
      <c r="AD46" s="18" t="s">
        <v>84</v>
      </c>
      <c r="AE46" s="18" t="n">
        <f aca="false">INDEX(Risk_Rules!$B$6:$B$11,MATCH(L46,Risk_Rules!$A$6:$A$11,0))</f>
        <v>20</v>
      </c>
      <c r="AF46" s="18" t="n">
        <f aca="false">INDEX(Risk_Rules!$B$15:$B$18,MATCH(M46,Risk_Rules!$A$15:$A$18,0))</f>
        <v>0</v>
      </c>
      <c r="AG46" s="18" t="n">
        <f aca="false">INDEX(Risk_Rules!$B$22:$B$23,MATCH(R46,Risk_Rules!$A$22:$A$23,0))</f>
        <v>0</v>
      </c>
      <c r="AH46" s="18" t="n">
        <f aca="false">Q46*Risk_Rules!$B$26</f>
        <v>10</v>
      </c>
      <c r="AI46" s="18" t="s">
        <v>222</v>
      </c>
      <c r="AJ46" s="18" t="n">
        <v>16.11</v>
      </c>
      <c r="AK46" s="18" t="s">
        <v>321</v>
      </c>
    </row>
    <row r="47" customFormat="false" ht="15" hidden="false" customHeight="false" outlineLevel="0" collapsed="false">
      <c r="A47" s="18" t="s">
        <v>322</v>
      </c>
      <c r="B47" s="18" t="s">
        <v>323</v>
      </c>
      <c r="C47" s="18" t="n">
        <v>22</v>
      </c>
      <c r="D47" s="18" t="n">
        <v>4.9</v>
      </c>
      <c r="E47" s="18" t="n">
        <v>12.933298</v>
      </c>
      <c r="F47" s="18" t="n">
        <v>77.614293</v>
      </c>
      <c r="G47" s="18" t="n">
        <v>13.063298</v>
      </c>
      <c r="H47" s="18" t="n">
        <v>77.744293</v>
      </c>
      <c r="I47" s="18" t="s">
        <v>73</v>
      </c>
      <c r="J47" s="18" t="s">
        <v>310</v>
      </c>
      <c r="K47" s="18" t="s">
        <v>316</v>
      </c>
      <c r="L47" s="18" t="s">
        <v>98</v>
      </c>
      <c r="M47" s="18" t="s">
        <v>10</v>
      </c>
      <c r="N47" s="18" t="n">
        <v>1</v>
      </c>
      <c r="O47" s="18" t="s">
        <v>91</v>
      </c>
      <c r="P47" s="18" t="s">
        <v>78</v>
      </c>
      <c r="Q47" s="18" t="n">
        <v>1</v>
      </c>
      <c r="R47" s="18" t="s">
        <v>79</v>
      </c>
      <c r="S47" s="18" t="s">
        <v>100</v>
      </c>
      <c r="T47" s="18" t="s">
        <v>81</v>
      </c>
      <c r="U47" s="18" t="n">
        <v>14.5</v>
      </c>
      <c r="V47" s="19" t="n">
        <v>46291.2112847222</v>
      </c>
      <c r="W47" s="21" t="n">
        <f aca="false">MIN(Risk_Rules!$B$27,AE47+AF47+AG47+AH47)</f>
        <v>30</v>
      </c>
      <c r="X47" s="21" t="str">
        <f aca="false">IF(W47&gt;=Risk_Rules!$B$31,"Critical",IF(W47&gt;=Risk_Rules!$B$32,"High",IF(W47&gt;=Risk_Rules!$B$33,"Medium","Low")))</f>
        <v>Medium</v>
      </c>
      <c r="Y47" s="18"/>
      <c r="Z47" s="18"/>
      <c r="AA47" s="18"/>
      <c r="AB47" s="18" t="s">
        <v>101</v>
      </c>
      <c r="AC47" s="18" t="s">
        <v>83</v>
      </c>
      <c r="AD47" s="18" t="s">
        <v>84</v>
      </c>
      <c r="AE47" s="18" t="n">
        <f aca="false">INDEX(Risk_Rules!$B$6:$B$11,MATCH(L47,Risk_Rules!$A$6:$A$11,0))</f>
        <v>20</v>
      </c>
      <c r="AF47" s="18" t="n">
        <f aca="false">INDEX(Risk_Rules!$B$15:$B$18,MATCH(M47,Risk_Rules!$A$15:$A$18,0))</f>
        <v>0</v>
      </c>
      <c r="AG47" s="18" t="n">
        <f aca="false">INDEX(Risk_Rules!$B$22:$B$23,MATCH(R47,Risk_Rules!$A$22:$A$23,0))</f>
        <v>0</v>
      </c>
      <c r="AH47" s="18" t="n">
        <f aca="false">Q47*Risk_Rules!$B$26</f>
        <v>10</v>
      </c>
      <c r="AI47" s="18" t="s">
        <v>114</v>
      </c>
      <c r="AJ47" s="18" t="n">
        <v>20.18</v>
      </c>
      <c r="AK47" s="18" t="s">
        <v>324</v>
      </c>
    </row>
    <row r="48" customFormat="false" ht="15" hidden="false" customHeight="false" outlineLevel="0" collapsed="false">
      <c r="A48" s="18" t="s">
        <v>325</v>
      </c>
      <c r="B48" s="18" t="s">
        <v>326</v>
      </c>
      <c r="C48" s="18" t="n">
        <v>35</v>
      </c>
      <c r="D48" s="18" t="n">
        <v>4</v>
      </c>
      <c r="E48" s="18" t="n">
        <v>12.972793</v>
      </c>
      <c r="F48" s="18" t="n">
        <v>80.249982</v>
      </c>
      <c r="G48" s="18" t="n">
        <v>13.042793</v>
      </c>
      <c r="H48" s="18" t="n">
        <v>80.319982</v>
      </c>
      <c r="I48" s="18" t="s">
        <v>73</v>
      </c>
      <c r="J48" s="18" t="s">
        <v>320</v>
      </c>
      <c r="K48" s="18" t="s">
        <v>316</v>
      </c>
      <c r="L48" s="18" t="s">
        <v>169</v>
      </c>
      <c r="M48" s="18" t="s">
        <v>10</v>
      </c>
      <c r="N48" s="18" t="n">
        <v>0</v>
      </c>
      <c r="O48" s="18" t="s">
        <v>99</v>
      </c>
      <c r="P48" s="18" t="s">
        <v>92</v>
      </c>
      <c r="Q48" s="18" t="n">
        <v>2</v>
      </c>
      <c r="R48" s="18" t="s">
        <v>79</v>
      </c>
      <c r="S48" s="18" t="s">
        <v>80</v>
      </c>
      <c r="T48" s="18" t="s">
        <v>81</v>
      </c>
      <c r="U48" s="18" t="n">
        <v>40</v>
      </c>
      <c r="V48" s="19" t="n">
        <v>46291.2112847222</v>
      </c>
      <c r="W48" s="21" t="n">
        <f aca="false">MIN(Risk_Rules!$B$27,AE48+AF48+AG48+AH48)</f>
        <v>40</v>
      </c>
      <c r="X48" s="21" t="str">
        <f aca="false">IF(W48&gt;=Risk_Rules!$B$31,"Critical",IF(W48&gt;=Risk_Rules!$B$32,"High",IF(W48&gt;=Risk_Rules!$B$33,"Medium","Low")))</f>
        <v>Medium</v>
      </c>
      <c r="Y48" s="18"/>
      <c r="Z48" s="18"/>
      <c r="AA48" s="18"/>
      <c r="AB48" s="18" t="s">
        <v>101</v>
      </c>
      <c r="AC48" s="18" t="s">
        <v>83</v>
      </c>
      <c r="AD48" s="18" t="s">
        <v>84</v>
      </c>
      <c r="AE48" s="18" t="n">
        <f aca="false">INDEX(Risk_Rules!$B$6:$B$11,MATCH(L48,Risk_Rules!$A$6:$A$11,0))</f>
        <v>20</v>
      </c>
      <c r="AF48" s="18" t="n">
        <f aca="false">INDEX(Risk_Rules!$B$15:$B$18,MATCH(M48,Risk_Rules!$A$15:$A$18,0))</f>
        <v>0</v>
      </c>
      <c r="AG48" s="18" t="n">
        <f aca="false">INDEX(Risk_Rules!$B$22:$B$23,MATCH(R48,Risk_Rules!$A$22:$A$23,0))</f>
        <v>0</v>
      </c>
      <c r="AH48" s="18" t="n">
        <f aca="false">Q48*Risk_Rules!$B$26</f>
        <v>20</v>
      </c>
      <c r="AI48" s="18" t="s">
        <v>327</v>
      </c>
      <c r="AJ48" s="18" t="n">
        <v>10.87</v>
      </c>
      <c r="AK48" s="18" t="s">
        <v>328</v>
      </c>
    </row>
    <row r="49" customFormat="false" ht="15" hidden="false" customHeight="false" outlineLevel="0" collapsed="false">
      <c r="A49" s="18" t="s">
        <v>329</v>
      </c>
      <c r="B49" s="18" t="s">
        <v>330</v>
      </c>
      <c r="C49" s="18" t="n">
        <v>32</v>
      </c>
      <c r="D49" s="18" t="n">
        <v>4.7</v>
      </c>
      <c r="E49" s="18" t="n">
        <v>21.186438</v>
      </c>
      <c r="F49" s="18" t="n">
        <v>72.794115</v>
      </c>
      <c r="G49" s="18" t="n">
        <v>21.316438</v>
      </c>
      <c r="H49" s="18" t="n">
        <v>72.924115</v>
      </c>
      <c r="I49" s="18" t="s">
        <v>73</v>
      </c>
      <c r="J49" s="18" t="s">
        <v>331</v>
      </c>
      <c r="K49" s="18" t="s">
        <v>332</v>
      </c>
      <c r="L49" s="18" t="s">
        <v>76</v>
      </c>
      <c r="M49" s="18" t="s">
        <v>10</v>
      </c>
      <c r="N49" s="18" t="n">
        <v>0</v>
      </c>
      <c r="O49" s="18" t="s">
        <v>130</v>
      </c>
      <c r="P49" s="18" t="s">
        <v>92</v>
      </c>
      <c r="Q49" s="18" t="n">
        <v>0</v>
      </c>
      <c r="R49" s="18" t="s">
        <v>79</v>
      </c>
      <c r="S49" s="18" t="s">
        <v>80</v>
      </c>
      <c r="T49" s="18" t="s">
        <v>81</v>
      </c>
      <c r="U49" s="18" t="n">
        <v>24.6</v>
      </c>
      <c r="V49" s="19" t="n">
        <v>46291.2112847222</v>
      </c>
      <c r="W49" s="20" t="n">
        <f aca="false">MIN(Risk_Rules!$B$27,AE49+AF49+AG49+AH49)</f>
        <v>10</v>
      </c>
      <c r="X49" s="20" t="str">
        <f aca="false">IF(W49&gt;=Risk_Rules!$B$31,"Critical",IF(W49&gt;=Risk_Rules!$B$32,"High",IF(W49&gt;=Risk_Rules!$B$33,"Medium","Low")))</f>
        <v>Low</v>
      </c>
      <c r="Y49" s="18"/>
      <c r="Z49" s="18"/>
      <c r="AA49" s="18"/>
      <c r="AB49" s="18" t="s">
        <v>82</v>
      </c>
      <c r="AC49" s="18" t="s">
        <v>83</v>
      </c>
      <c r="AD49" s="18" t="s">
        <v>84</v>
      </c>
      <c r="AE49" s="18" t="n">
        <f aca="false">INDEX(Risk_Rules!$B$6:$B$11,MATCH(L49,Risk_Rules!$A$6:$A$11,0))</f>
        <v>10</v>
      </c>
      <c r="AF49" s="18" t="n">
        <f aca="false">INDEX(Risk_Rules!$B$15:$B$18,MATCH(M49,Risk_Rules!$A$15:$A$18,0))</f>
        <v>0</v>
      </c>
      <c r="AG49" s="18" t="n">
        <f aca="false">INDEX(Risk_Rules!$B$22:$B$23,MATCH(R49,Risk_Rules!$A$22:$A$23,0))</f>
        <v>0</v>
      </c>
      <c r="AH49" s="18" t="n">
        <f aca="false">Q49*Risk_Rules!$B$26</f>
        <v>0</v>
      </c>
      <c r="AI49" s="18" t="s">
        <v>85</v>
      </c>
      <c r="AJ49" s="18" t="n">
        <v>19.76</v>
      </c>
      <c r="AK49" s="18" t="s">
        <v>333</v>
      </c>
    </row>
    <row r="50" customFormat="false" ht="15" hidden="false" customHeight="false" outlineLevel="0" collapsed="false">
      <c r="A50" s="18" t="s">
        <v>334</v>
      </c>
      <c r="B50" s="18" t="s">
        <v>335</v>
      </c>
      <c r="C50" s="18" t="n">
        <v>21</v>
      </c>
      <c r="D50" s="18" t="n">
        <v>4.6</v>
      </c>
      <c r="E50" s="18" t="n">
        <v>22.307898</v>
      </c>
      <c r="F50" s="18" t="n">
        <v>73.167788</v>
      </c>
      <c r="G50" s="18" t="n">
        <v>22.397898</v>
      </c>
      <c r="H50" s="18" t="n">
        <v>73.257788</v>
      </c>
      <c r="I50" s="18" t="s">
        <v>73</v>
      </c>
      <c r="J50" s="18" t="s">
        <v>336</v>
      </c>
      <c r="K50" s="18" t="s">
        <v>337</v>
      </c>
      <c r="L50" s="18" t="s">
        <v>76</v>
      </c>
      <c r="M50" s="18" t="s">
        <v>10</v>
      </c>
      <c r="N50" s="18" t="n">
        <v>1</v>
      </c>
      <c r="O50" s="18" t="s">
        <v>77</v>
      </c>
      <c r="P50" s="18" t="s">
        <v>78</v>
      </c>
      <c r="Q50" s="18" t="n">
        <v>1</v>
      </c>
      <c r="R50" s="18" t="s">
        <v>79</v>
      </c>
      <c r="S50" s="18" t="s">
        <v>100</v>
      </c>
      <c r="T50" s="18" t="s">
        <v>81</v>
      </c>
      <c r="U50" s="18" t="n">
        <v>14.5</v>
      </c>
      <c r="V50" s="19" t="n">
        <v>46291.2112847222</v>
      </c>
      <c r="W50" s="20" t="n">
        <f aca="false">MIN(Risk_Rules!$B$27,AE50+AF50+AG50+AH50)</f>
        <v>20</v>
      </c>
      <c r="X50" s="20" t="str">
        <f aca="false">IF(W50&gt;=Risk_Rules!$B$31,"Critical",IF(W50&gt;=Risk_Rules!$B$32,"High",IF(W50&gt;=Risk_Rules!$B$33,"Medium","Low")))</f>
        <v>Low</v>
      </c>
      <c r="Y50" s="18"/>
      <c r="Z50" s="18"/>
      <c r="AA50" s="18"/>
      <c r="AB50" s="18" t="s">
        <v>82</v>
      </c>
      <c r="AC50" s="18" t="s">
        <v>83</v>
      </c>
      <c r="AD50" s="18" t="s">
        <v>84</v>
      </c>
      <c r="AE50" s="18" t="n">
        <f aca="false">INDEX(Risk_Rules!$B$6:$B$11,MATCH(L50,Risk_Rules!$A$6:$A$11,0))</f>
        <v>10</v>
      </c>
      <c r="AF50" s="18" t="n">
        <f aca="false">INDEX(Risk_Rules!$B$15:$B$18,MATCH(M50,Risk_Rules!$A$15:$A$18,0))</f>
        <v>0</v>
      </c>
      <c r="AG50" s="18" t="n">
        <f aca="false">INDEX(Risk_Rules!$B$22:$B$23,MATCH(R50,Risk_Rules!$A$22:$A$23,0))</f>
        <v>0</v>
      </c>
      <c r="AH50" s="18" t="n">
        <f aca="false">Q50*Risk_Rules!$B$26</f>
        <v>10</v>
      </c>
      <c r="AI50" s="18" t="s">
        <v>108</v>
      </c>
      <c r="AJ50" s="18" t="n">
        <v>13.63</v>
      </c>
      <c r="AK50" s="18" t="s">
        <v>338</v>
      </c>
    </row>
    <row r="51" customFormat="false" ht="15" hidden="false" customHeight="false" outlineLevel="0" collapsed="false">
      <c r="A51" s="18" t="s">
        <v>339</v>
      </c>
      <c r="B51" s="18" t="s">
        <v>340</v>
      </c>
      <c r="C51" s="18" t="n">
        <v>27</v>
      </c>
      <c r="D51" s="18" t="n">
        <v>4.8</v>
      </c>
      <c r="E51" s="18" t="n">
        <v>21.17106</v>
      </c>
      <c r="F51" s="18" t="n">
        <v>72.789292</v>
      </c>
      <c r="G51" s="18" t="n">
        <v>21.22106</v>
      </c>
      <c r="H51" s="18" t="n">
        <v>72.839292</v>
      </c>
      <c r="I51" s="18" t="s">
        <v>73</v>
      </c>
      <c r="J51" s="18" t="s">
        <v>337</v>
      </c>
      <c r="K51" s="18" t="s">
        <v>221</v>
      </c>
      <c r="L51" s="18" t="s">
        <v>123</v>
      </c>
      <c r="M51" s="18" t="s">
        <v>10</v>
      </c>
      <c r="N51" s="18" t="n">
        <v>1</v>
      </c>
      <c r="O51" s="18" t="s">
        <v>99</v>
      </c>
      <c r="P51" s="18" t="s">
        <v>78</v>
      </c>
      <c r="Q51" s="18" t="n">
        <v>1</v>
      </c>
      <c r="R51" s="18" t="s">
        <v>79</v>
      </c>
      <c r="S51" s="18" t="s">
        <v>80</v>
      </c>
      <c r="T51" s="18" t="s">
        <v>81</v>
      </c>
      <c r="U51" s="18" t="n">
        <v>16.1</v>
      </c>
      <c r="V51" s="19" t="n">
        <v>46291.2112847222</v>
      </c>
      <c r="W51" s="21" t="n">
        <f aca="false">MIN(Risk_Rules!$B$27,AE51+AF51+AG51+AH51)</f>
        <v>30</v>
      </c>
      <c r="X51" s="21" t="str">
        <f aca="false">IF(W51&gt;=Risk_Rules!$B$31,"Critical",IF(W51&gt;=Risk_Rules!$B$32,"High",IF(W51&gt;=Risk_Rules!$B$33,"Medium","Low")))</f>
        <v>Medium</v>
      </c>
      <c r="Y51" s="18"/>
      <c r="Z51" s="18"/>
      <c r="AA51" s="18"/>
      <c r="AB51" s="18" t="s">
        <v>101</v>
      </c>
      <c r="AC51" s="18" t="s">
        <v>83</v>
      </c>
      <c r="AD51" s="18" t="s">
        <v>84</v>
      </c>
      <c r="AE51" s="18" t="n">
        <f aca="false">INDEX(Risk_Rules!$B$6:$B$11,MATCH(L51,Risk_Rules!$A$6:$A$11,0))</f>
        <v>20</v>
      </c>
      <c r="AF51" s="18" t="n">
        <f aca="false">INDEX(Risk_Rules!$B$15:$B$18,MATCH(M51,Risk_Rules!$A$15:$A$18,0))</f>
        <v>0</v>
      </c>
      <c r="AG51" s="18" t="n">
        <f aca="false">INDEX(Risk_Rules!$B$22:$B$23,MATCH(R51,Risk_Rules!$A$22:$A$23,0))</f>
        <v>0</v>
      </c>
      <c r="AH51" s="18" t="n">
        <f aca="false">Q51*Risk_Rules!$B$26</f>
        <v>10</v>
      </c>
      <c r="AI51" s="18" t="s">
        <v>124</v>
      </c>
      <c r="AJ51" s="18" t="n">
        <v>7.6</v>
      </c>
      <c r="AK51" s="18" t="s">
        <v>341</v>
      </c>
    </row>
  </sheetData>
  <autoFilter ref="A1:AK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58"/>
  </cols>
  <sheetData>
    <row r="1" customFormat="false" ht="16.15" hidden="false" customHeight="false" outlineLevel="0" collapsed="false">
      <c r="A1" s="23" t="s">
        <v>342</v>
      </c>
    </row>
    <row r="2" customFormat="false" ht="15" hidden="false" customHeight="false" outlineLevel="0" collapsed="false">
      <c r="A2" s="2" t="s">
        <v>343</v>
      </c>
    </row>
    <row r="4" customFormat="false" ht="15" hidden="false" customHeight="false" outlineLevel="0" collapsed="false">
      <c r="A4" s="11" t="s">
        <v>344</v>
      </c>
    </row>
    <row r="5" customFormat="false" ht="15" hidden="false" customHeight="false" outlineLevel="0" collapsed="false">
      <c r="A5" s="24" t="s">
        <v>345</v>
      </c>
      <c r="B5" s="24" t="s">
        <v>346</v>
      </c>
      <c r="C5" s="24" t="s">
        <v>347</v>
      </c>
    </row>
    <row r="6" customFormat="false" ht="15" hidden="false" customHeight="false" outlineLevel="0" collapsed="false">
      <c r="A6" s="5" t="s">
        <v>90</v>
      </c>
      <c r="B6" s="25" t="n">
        <v>0</v>
      </c>
      <c r="C6" s="5" t="s">
        <v>93</v>
      </c>
    </row>
    <row r="7" customFormat="false" ht="15" hidden="false" customHeight="false" outlineLevel="0" collapsed="false">
      <c r="A7" s="5" t="s">
        <v>76</v>
      </c>
      <c r="B7" s="25" t="n">
        <v>10</v>
      </c>
      <c r="C7" s="5" t="s">
        <v>82</v>
      </c>
    </row>
    <row r="8" customFormat="false" ht="15" hidden="false" customHeight="false" outlineLevel="0" collapsed="false">
      <c r="A8" s="5" t="s">
        <v>138</v>
      </c>
      <c r="B8" s="25" t="n">
        <v>20</v>
      </c>
      <c r="C8" s="5" t="s">
        <v>101</v>
      </c>
    </row>
    <row r="9" customFormat="false" ht="15" hidden="false" customHeight="false" outlineLevel="0" collapsed="false">
      <c r="A9" s="5" t="s">
        <v>169</v>
      </c>
      <c r="B9" s="25" t="n">
        <v>20</v>
      </c>
      <c r="C9" s="5" t="s">
        <v>101</v>
      </c>
    </row>
    <row r="10" customFormat="false" ht="15" hidden="false" customHeight="false" outlineLevel="0" collapsed="false">
      <c r="A10" s="5" t="s">
        <v>123</v>
      </c>
      <c r="B10" s="25" t="n">
        <v>20</v>
      </c>
      <c r="C10" s="5" t="s">
        <v>101</v>
      </c>
    </row>
    <row r="11" customFormat="false" ht="15" hidden="false" customHeight="false" outlineLevel="0" collapsed="false">
      <c r="A11" s="5" t="s">
        <v>98</v>
      </c>
      <c r="B11" s="25" t="n">
        <v>20</v>
      </c>
      <c r="C11" s="5" t="s">
        <v>101</v>
      </c>
    </row>
    <row r="13" customFormat="false" ht="15" hidden="false" customHeight="false" outlineLevel="0" collapsed="false">
      <c r="A13" s="11" t="s">
        <v>348</v>
      </c>
    </row>
    <row r="14" customFormat="false" ht="15" hidden="false" customHeight="false" outlineLevel="0" collapsed="false">
      <c r="A14" s="24" t="s">
        <v>345</v>
      </c>
      <c r="B14" s="24" t="s">
        <v>346</v>
      </c>
      <c r="C14" s="24" t="s">
        <v>347</v>
      </c>
    </row>
    <row r="15" customFormat="false" ht="15" hidden="false" customHeight="false" outlineLevel="0" collapsed="false">
      <c r="A15" s="5" t="s">
        <v>10</v>
      </c>
      <c r="B15" s="25" t="n">
        <v>0</v>
      </c>
      <c r="C15" s="5" t="s">
        <v>83</v>
      </c>
    </row>
    <row r="16" customFormat="false" ht="15" hidden="false" customHeight="false" outlineLevel="0" collapsed="false">
      <c r="A16" s="5" t="s">
        <v>9</v>
      </c>
      <c r="B16" s="25" t="n">
        <v>10</v>
      </c>
      <c r="C16" s="5" t="s">
        <v>82</v>
      </c>
    </row>
    <row r="17" customFormat="false" ht="15" hidden="false" customHeight="false" outlineLevel="0" collapsed="false">
      <c r="A17" s="5" t="s">
        <v>8</v>
      </c>
      <c r="B17" s="25" t="n">
        <v>20</v>
      </c>
      <c r="C17" s="5" t="s">
        <v>131</v>
      </c>
    </row>
    <row r="18" customFormat="false" ht="15" hidden="false" customHeight="false" outlineLevel="0" collapsed="false">
      <c r="A18" s="5" t="s">
        <v>228</v>
      </c>
      <c r="B18" s="25" t="n">
        <v>30</v>
      </c>
      <c r="C18" s="5" t="s">
        <v>229</v>
      </c>
    </row>
    <row r="20" customFormat="false" ht="15" hidden="false" customHeight="false" outlineLevel="0" collapsed="false">
      <c r="A20" s="11" t="s">
        <v>349</v>
      </c>
    </row>
    <row r="21" customFormat="false" ht="15" hidden="false" customHeight="false" outlineLevel="0" collapsed="false">
      <c r="A21" s="24" t="s">
        <v>345</v>
      </c>
      <c r="B21" s="24" t="s">
        <v>346</v>
      </c>
      <c r="C21" s="24" t="s">
        <v>347</v>
      </c>
    </row>
    <row r="22" customFormat="false" ht="15" hidden="false" customHeight="false" outlineLevel="0" collapsed="false">
      <c r="A22" s="5" t="s">
        <v>79</v>
      </c>
      <c r="B22" s="25" t="n">
        <v>0</v>
      </c>
      <c r="C22" s="5" t="s">
        <v>84</v>
      </c>
    </row>
    <row r="23" customFormat="false" ht="15" hidden="false" customHeight="false" outlineLevel="0" collapsed="false">
      <c r="A23" s="5" t="s">
        <v>350</v>
      </c>
      <c r="B23" s="25" t="n">
        <v>30</v>
      </c>
      <c r="C23" s="5" t="s">
        <v>351</v>
      </c>
    </row>
    <row r="25" customFormat="false" ht="15" hidden="false" customHeight="false" outlineLevel="0" collapsed="false">
      <c r="A25" s="11" t="s">
        <v>352</v>
      </c>
    </row>
    <row r="26" customFormat="false" ht="15" hidden="false" customHeight="false" outlineLevel="0" collapsed="false">
      <c r="A26" s="5" t="s">
        <v>353</v>
      </c>
      <c r="B26" s="25" t="n">
        <v>10</v>
      </c>
    </row>
    <row r="27" customFormat="false" ht="15" hidden="false" customHeight="false" outlineLevel="0" collapsed="false">
      <c r="A27" s="5" t="s">
        <v>354</v>
      </c>
      <c r="B27" s="25" t="n">
        <v>100</v>
      </c>
    </row>
    <row r="29" customFormat="false" ht="15" hidden="false" customHeight="false" outlineLevel="0" collapsed="false">
      <c r="A29" s="11" t="s">
        <v>355</v>
      </c>
    </row>
    <row r="30" customFormat="false" ht="15" hidden="false" customHeight="false" outlineLevel="0" collapsed="false">
      <c r="A30" s="24" t="s">
        <v>356</v>
      </c>
      <c r="B30" s="24" t="s">
        <v>357</v>
      </c>
      <c r="C30" s="24" t="s">
        <v>358</v>
      </c>
    </row>
    <row r="31" customFormat="false" ht="15" hidden="false" customHeight="false" outlineLevel="0" collapsed="false">
      <c r="A31" s="5" t="s">
        <v>7</v>
      </c>
      <c r="B31" s="25" t="n">
        <v>70</v>
      </c>
      <c r="C31" s="5" t="s">
        <v>359</v>
      </c>
    </row>
    <row r="32" customFormat="false" ht="15" hidden="false" customHeight="false" outlineLevel="0" collapsed="false">
      <c r="A32" s="5" t="s">
        <v>8</v>
      </c>
      <c r="B32" s="25" t="n">
        <v>50</v>
      </c>
      <c r="C32" s="5" t="s">
        <v>360</v>
      </c>
    </row>
    <row r="33" customFormat="false" ht="15" hidden="false" customHeight="false" outlineLevel="0" collapsed="false">
      <c r="A33" s="5" t="s">
        <v>9</v>
      </c>
      <c r="B33" s="25" t="n">
        <v>30</v>
      </c>
      <c r="C33" s="5" t="s">
        <v>361</v>
      </c>
    </row>
    <row r="34" customFormat="false" ht="15" hidden="false" customHeight="false" outlineLevel="0" collapsed="false">
      <c r="A34" s="5" t="s">
        <v>10</v>
      </c>
      <c r="B34" s="25" t="n">
        <v>0</v>
      </c>
      <c r="C34" s="5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21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6" min="15" style="0" width="19"/>
    <col collapsed="false" customWidth="true" hidden="false" outlineLevel="0" max="17" min="17" style="0" width="12"/>
    <col collapsed="false" customWidth="true" hidden="false" outlineLevel="0" max="18" min="18" style="0" width="15"/>
    <col collapsed="false" customWidth="true" hidden="false" outlineLevel="0" max="19" min="19" style="0" width="34"/>
  </cols>
  <sheetData>
    <row r="1" customFormat="false" ht="15" hidden="false" customHeight="false" outlineLevel="0" collapsed="false">
      <c r="A1" s="11" t="s">
        <v>363</v>
      </c>
    </row>
    <row r="3" customFormat="false" ht="31.5" hidden="false" customHeight="true" outlineLevel="0" collapsed="false">
      <c r="A3" s="16" t="s">
        <v>40</v>
      </c>
      <c r="B3" s="16" t="s">
        <v>41</v>
      </c>
      <c r="C3" s="16" t="s">
        <v>52</v>
      </c>
      <c r="D3" s="16" t="s">
        <v>47</v>
      </c>
      <c r="E3" s="16" t="s">
        <v>48</v>
      </c>
      <c r="F3" s="16" t="s">
        <v>33</v>
      </c>
      <c r="G3" s="16" t="s">
        <v>61</v>
      </c>
      <c r="H3" s="16" t="s">
        <v>35</v>
      </c>
      <c r="I3" s="16" t="s">
        <v>62</v>
      </c>
      <c r="J3" s="16" t="s">
        <v>51</v>
      </c>
      <c r="K3" s="16" t="s">
        <v>63</v>
      </c>
      <c r="L3" s="16" t="s">
        <v>36</v>
      </c>
      <c r="M3" s="16" t="s">
        <v>50</v>
      </c>
      <c r="N3" s="16" t="s">
        <v>69</v>
      </c>
      <c r="O3" s="16" t="s">
        <v>54</v>
      </c>
      <c r="P3" s="16" t="s">
        <v>70</v>
      </c>
      <c r="Q3" s="16" t="s">
        <v>56</v>
      </c>
      <c r="R3" s="16" t="s">
        <v>57</v>
      </c>
      <c r="S3" s="16" t="s">
        <v>68</v>
      </c>
    </row>
    <row r="4" customFormat="false" ht="15" hidden="false" customHeight="false" outlineLevel="0" collapsed="false">
      <c r="A4" s="18" t="s">
        <v>293</v>
      </c>
      <c r="B4" s="18" t="s">
        <v>294</v>
      </c>
      <c r="C4" s="18" t="s">
        <v>80</v>
      </c>
      <c r="D4" s="18" t="s">
        <v>291</v>
      </c>
      <c r="E4" s="18" t="s">
        <v>295</v>
      </c>
      <c r="F4" s="18" t="s">
        <v>169</v>
      </c>
      <c r="G4" s="18" t="s">
        <v>101</v>
      </c>
      <c r="H4" s="18" t="s">
        <v>228</v>
      </c>
      <c r="I4" s="18" t="s">
        <v>229</v>
      </c>
      <c r="J4" s="18" t="s">
        <v>79</v>
      </c>
      <c r="K4" s="18" t="s">
        <v>84</v>
      </c>
      <c r="L4" s="18" t="n">
        <v>1</v>
      </c>
      <c r="M4" s="18" t="s">
        <v>78</v>
      </c>
      <c r="N4" s="18" t="n">
        <v>10.6</v>
      </c>
      <c r="O4" s="18" t="n">
        <v>39.7</v>
      </c>
      <c r="P4" s="18" t="s">
        <v>297</v>
      </c>
      <c r="Q4" s="22" t="n">
        <v>60</v>
      </c>
      <c r="R4" s="22" t="s">
        <v>8</v>
      </c>
      <c r="S4" s="18" t="s">
        <v>296</v>
      </c>
    </row>
    <row r="5" customFormat="false" ht="15" hidden="false" customHeight="false" outlineLevel="0" collapsed="false">
      <c r="A5" s="18" t="s">
        <v>274</v>
      </c>
      <c r="B5" s="18" t="s">
        <v>122</v>
      </c>
      <c r="C5" s="18" t="s">
        <v>80</v>
      </c>
      <c r="D5" s="18" t="s">
        <v>271</v>
      </c>
      <c r="E5" s="18" t="s">
        <v>275</v>
      </c>
      <c r="F5" s="18" t="s">
        <v>138</v>
      </c>
      <c r="G5" s="18" t="s">
        <v>101</v>
      </c>
      <c r="H5" s="18" t="s">
        <v>228</v>
      </c>
      <c r="I5" s="18" t="s">
        <v>229</v>
      </c>
      <c r="J5" s="18" t="s">
        <v>79</v>
      </c>
      <c r="K5" s="18" t="s">
        <v>84</v>
      </c>
      <c r="L5" s="18" t="n">
        <v>1</v>
      </c>
      <c r="M5" s="18" t="s">
        <v>78</v>
      </c>
      <c r="N5" s="18" t="n">
        <v>17.17</v>
      </c>
      <c r="O5" s="18" t="n">
        <v>36.8</v>
      </c>
      <c r="P5" s="18" t="s">
        <v>276</v>
      </c>
      <c r="Q5" s="22" t="n">
        <v>60</v>
      </c>
      <c r="R5" s="22" t="s">
        <v>8</v>
      </c>
      <c r="S5" s="18" t="s">
        <v>230</v>
      </c>
    </row>
    <row r="6" customFormat="false" ht="15" hidden="false" customHeight="false" outlineLevel="0" collapsed="false">
      <c r="A6" s="18" t="s">
        <v>224</v>
      </c>
      <c r="B6" s="18" t="s">
        <v>225</v>
      </c>
      <c r="C6" s="18" t="s">
        <v>80</v>
      </c>
      <c r="D6" s="18" t="s">
        <v>226</v>
      </c>
      <c r="E6" s="18" t="s">
        <v>227</v>
      </c>
      <c r="F6" s="18" t="s">
        <v>138</v>
      </c>
      <c r="G6" s="18" t="s">
        <v>101</v>
      </c>
      <c r="H6" s="18" t="s">
        <v>228</v>
      </c>
      <c r="I6" s="18" t="s">
        <v>229</v>
      </c>
      <c r="J6" s="18" t="s">
        <v>79</v>
      </c>
      <c r="K6" s="18" t="s">
        <v>84</v>
      </c>
      <c r="L6" s="18" t="n">
        <v>1</v>
      </c>
      <c r="M6" s="18" t="s">
        <v>92</v>
      </c>
      <c r="N6" s="18" t="n">
        <v>13.97</v>
      </c>
      <c r="O6" s="18" t="n">
        <v>35.4</v>
      </c>
      <c r="P6" s="18" t="s">
        <v>231</v>
      </c>
      <c r="Q6" s="22" t="n">
        <v>60</v>
      </c>
      <c r="R6" s="22" t="s">
        <v>8</v>
      </c>
      <c r="S6" s="18" t="s">
        <v>230</v>
      </c>
    </row>
    <row r="7" customFormat="false" ht="15" hidden="false" customHeight="false" outlineLevel="0" collapsed="false">
      <c r="A7" s="18" t="s">
        <v>243</v>
      </c>
      <c r="B7" s="18" t="s">
        <v>244</v>
      </c>
      <c r="C7" s="18" t="s">
        <v>80</v>
      </c>
      <c r="D7" s="18" t="s">
        <v>245</v>
      </c>
      <c r="E7" s="18" t="s">
        <v>246</v>
      </c>
      <c r="F7" s="18" t="s">
        <v>123</v>
      </c>
      <c r="G7" s="18" t="s">
        <v>101</v>
      </c>
      <c r="H7" s="18" t="s">
        <v>228</v>
      </c>
      <c r="I7" s="18" t="s">
        <v>229</v>
      </c>
      <c r="J7" s="18" t="s">
        <v>79</v>
      </c>
      <c r="K7" s="18" t="s">
        <v>84</v>
      </c>
      <c r="L7" s="18" t="n">
        <v>1</v>
      </c>
      <c r="M7" s="18" t="s">
        <v>92</v>
      </c>
      <c r="N7" s="18" t="n">
        <v>10.57</v>
      </c>
      <c r="O7" s="18" t="n">
        <v>32.5</v>
      </c>
      <c r="P7" s="18" t="s">
        <v>248</v>
      </c>
      <c r="Q7" s="22" t="n">
        <v>60</v>
      </c>
      <c r="R7" s="22" t="s">
        <v>8</v>
      </c>
      <c r="S7" s="18" t="s">
        <v>247</v>
      </c>
    </row>
    <row r="8" customFormat="false" ht="15" hidden="false" customHeight="false" outlineLevel="0" collapsed="false">
      <c r="A8" s="18" t="s">
        <v>277</v>
      </c>
      <c r="B8" s="18" t="s">
        <v>278</v>
      </c>
      <c r="C8" s="18" t="s">
        <v>80</v>
      </c>
      <c r="D8" s="18" t="s">
        <v>279</v>
      </c>
      <c r="E8" s="18" t="s">
        <v>275</v>
      </c>
      <c r="F8" s="18" t="s">
        <v>138</v>
      </c>
      <c r="G8" s="18" t="s">
        <v>101</v>
      </c>
      <c r="H8" s="18" t="s">
        <v>228</v>
      </c>
      <c r="I8" s="18" t="s">
        <v>229</v>
      </c>
      <c r="J8" s="18" t="s">
        <v>79</v>
      </c>
      <c r="K8" s="18" t="s">
        <v>84</v>
      </c>
      <c r="L8" s="18" t="n">
        <v>1</v>
      </c>
      <c r="M8" s="18" t="s">
        <v>92</v>
      </c>
      <c r="N8" s="18" t="n">
        <v>9.08</v>
      </c>
      <c r="O8" s="18" t="n">
        <v>27.8</v>
      </c>
      <c r="P8" s="18" t="s">
        <v>280</v>
      </c>
      <c r="Q8" s="22" t="n">
        <v>60</v>
      </c>
      <c r="R8" s="22" t="s">
        <v>8</v>
      </c>
      <c r="S8" s="18" t="s">
        <v>230</v>
      </c>
    </row>
    <row r="9" customFormat="false" ht="15" hidden="false" customHeight="false" outlineLevel="0" collapsed="false">
      <c r="A9" s="18" t="s">
        <v>298</v>
      </c>
      <c r="B9" s="18" t="s">
        <v>299</v>
      </c>
      <c r="C9" s="18" t="s">
        <v>80</v>
      </c>
      <c r="D9" s="18" t="s">
        <v>295</v>
      </c>
      <c r="E9" s="18" t="s">
        <v>300</v>
      </c>
      <c r="F9" s="18" t="s">
        <v>169</v>
      </c>
      <c r="G9" s="18" t="s">
        <v>101</v>
      </c>
      <c r="H9" s="18" t="s">
        <v>228</v>
      </c>
      <c r="I9" s="18" t="s">
        <v>229</v>
      </c>
      <c r="J9" s="18" t="s">
        <v>79</v>
      </c>
      <c r="K9" s="18" t="s">
        <v>84</v>
      </c>
      <c r="L9" s="18" t="n">
        <v>1</v>
      </c>
      <c r="M9" s="18" t="s">
        <v>78</v>
      </c>
      <c r="N9" s="18" t="n">
        <v>4.67</v>
      </c>
      <c r="O9" s="18" t="n">
        <v>26.9</v>
      </c>
      <c r="P9" s="18" t="s">
        <v>301</v>
      </c>
      <c r="Q9" s="22" t="n">
        <v>60</v>
      </c>
      <c r="R9" s="22" t="s">
        <v>8</v>
      </c>
      <c r="S9" s="18" t="s">
        <v>296</v>
      </c>
    </row>
    <row r="10" customFormat="false" ht="15" hidden="false" customHeight="false" outlineLevel="0" collapsed="false">
      <c r="A10" s="18" t="s">
        <v>269</v>
      </c>
      <c r="B10" s="18" t="s">
        <v>270</v>
      </c>
      <c r="C10" s="18" t="s">
        <v>80</v>
      </c>
      <c r="D10" s="18" t="s">
        <v>266</v>
      </c>
      <c r="E10" s="18" t="s">
        <v>271</v>
      </c>
      <c r="F10" s="18" t="s">
        <v>98</v>
      </c>
      <c r="G10" s="18" t="s">
        <v>101</v>
      </c>
      <c r="H10" s="18" t="s">
        <v>228</v>
      </c>
      <c r="I10" s="18" t="s">
        <v>229</v>
      </c>
      <c r="J10" s="18" t="s">
        <v>79</v>
      </c>
      <c r="K10" s="18" t="s">
        <v>84</v>
      </c>
      <c r="L10" s="18" t="n">
        <v>1</v>
      </c>
      <c r="M10" s="18" t="s">
        <v>170</v>
      </c>
      <c r="N10" s="18" t="n">
        <v>10.59</v>
      </c>
      <c r="O10" s="18" t="n">
        <v>22.8</v>
      </c>
      <c r="P10" s="18" t="s">
        <v>273</v>
      </c>
      <c r="Q10" s="22" t="n">
        <v>60</v>
      </c>
      <c r="R10" s="22" t="s">
        <v>8</v>
      </c>
      <c r="S10" s="18" t="s">
        <v>272</v>
      </c>
    </row>
    <row r="11" customFormat="false" ht="15" hidden="false" customHeight="false" outlineLevel="0" collapsed="false">
      <c r="A11" s="18" t="s">
        <v>141</v>
      </c>
      <c r="B11" s="18" t="s">
        <v>142</v>
      </c>
      <c r="C11" s="18" t="s">
        <v>145</v>
      </c>
      <c r="D11" s="18" t="s">
        <v>143</v>
      </c>
      <c r="E11" s="18" t="s">
        <v>144</v>
      </c>
      <c r="F11" s="18" t="s">
        <v>90</v>
      </c>
      <c r="G11" s="18" t="s">
        <v>93</v>
      </c>
      <c r="H11" s="18" t="s">
        <v>8</v>
      </c>
      <c r="I11" s="18" t="s">
        <v>131</v>
      </c>
      <c r="J11" s="18" t="s">
        <v>79</v>
      </c>
      <c r="K11" s="18" t="s">
        <v>84</v>
      </c>
      <c r="L11" s="18" t="n">
        <v>3</v>
      </c>
      <c r="M11" s="18" t="s">
        <v>92</v>
      </c>
      <c r="N11" s="18" t="n">
        <v>6.21</v>
      </c>
      <c r="O11" s="18" t="n">
        <v>51.8</v>
      </c>
      <c r="P11" s="18" t="s">
        <v>147</v>
      </c>
      <c r="Q11" s="22" t="n">
        <v>50</v>
      </c>
      <c r="R11" s="22" t="s">
        <v>8</v>
      </c>
      <c r="S11" s="18" t="s">
        <v>146</v>
      </c>
    </row>
    <row r="12" customFormat="false" ht="15" hidden="false" customHeight="false" outlineLevel="0" collapsed="false">
      <c r="A12" s="18" t="s">
        <v>254</v>
      </c>
      <c r="B12" s="18" t="s">
        <v>255</v>
      </c>
      <c r="C12" s="18" t="s">
        <v>80</v>
      </c>
      <c r="D12" s="18" t="s">
        <v>246</v>
      </c>
      <c r="E12" s="18" t="s">
        <v>251</v>
      </c>
      <c r="F12" s="18" t="s">
        <v>169</v>
      </c>
      <c r="G12" s="18" t="s">
        <v>101</v>
      </c>
      <c r="H12" s="18" t="s">
        <v>228</v>
      </c>
      <c r="I12" s="18" t="s">
        <v>229</v>
      </c>
      <c r="J12" s="18" t="s">
        <v>79</v>
      </c>
      <c r="K12" s="18" t="s">
        <v>84</v>
      </c>
      <c r="L12" s="18" t="n">
        <v>0</v>
      </c>
      <c r="M12" s="18" t="s">
        <v>78</v>
      </c>
      <c r="N12" s="18" t="n">
        <v>10.57</v>
      </c>
      <c r="O12" s="18" t="n">
        <v>40.8</v>
      </c>
      <c r="P12" s="18" t="s">
        <v>257</v>
      </c>
      <c r="Q12" s="22" t="n">
        <v>50</v>
      </c>
      <c r="R12" s="22" t="s">
        <v>8</v>
      </c>
      <c r="S12" s="18" t="s">
        <v>256</v>
      </c>
    </row>
    <row r="13" customFormat="false" ht="15" hidden="false" customHeight="false" outlineLevel="0" collapsed="false">
      <c r="A13" s="18" t="s">
        <v>258</v>
      </c>
      <c r="B13" s="18" t="s">
        <v>259</v>
      </c>
      <c r="C13" s="18" t="s">
        <v>80</v>
      </c>
      <c r="D13" s="18" t="s">
        <v>260</v>
      </c>
      <c r="E13" s="18" t="s">
        <v>261</v>
      </c>
      <c r="F13" s="18" t="s">
        <v>123</v>
      </c>
      <c r="G13" s="18" t="s">
        <v>101</v>
      </c>
      <c r="H13" s="18" t="s">
        <v>228</v>
      </c>
      <c r="I13" s="18" t="s">
        <v>229</v>
      </c>
      <c r="J13" s="18" t="s">
        <v>79</v>
      </c>
      <c r="K13" s="18" t="s">
        <v>84</v>
      </c>
      <c r="L13" s="18" t="n">
        <v>0</v>
      </c>
      <c r="M13" s="18" t="s">
        <v>170</v>
      </c>
      <c r="N13" s="18" t="n">
        <v>13.68</v>
      </c>
      <c r="O13" s="18" t="n">
        <v>37.6</v>
      </c>
      <c r="P13" s="18" t="s">
        <v>263</v>
      </c>
      <c r="Q13" s="22" t="n">
        <v>50</v>
      </c>
      <c r="R13" s="22" t="s">
        <v>8</v>
      </c>
      <c r="S13" s="18" t="s">
        <v>262</v>
      </c>
    </row>
    <row r="14" customFormat="false" ht="15" hidden="false" customHeight="false" outlineLevel="0" collapsed="false">
      <c r="A14" s="18" t="s">
        <v>289</v>
      </c>
      <c r="B14" s="18" t="s">
        <v>111</v>
      </c>
      <c r="C14" s="18" t="s">
        <v>80</v>
      </c>
      <c r="D14" s="18" t="s">
        <v>290</v>
      </c>
      <c r="E14" s="18" t="s">
        <v>291</v>
      </c>
      <c r="F14" s="18" t="s">
        <v>76</v>
      </c>
      <c r="G14" s="18" t="s">
        <v>82</v>
      </c>
      <c r="H14" s="18" t="s">
        <v>228</v>
      </c>
      <c r="I14" s="18" t="s">
        <v>229</v>
      </c>
      <c r="J14" s="18" t="s">
        <v>79</v>
      </c>
      <c r="K14" s="18" t="s">
        <v>84</v>
      </c>
      <c r="L14" s="18" t="n">
        <v>1</v>
      </c>
      <c r="M14" s="18" t="s">
        <v>92</v>
      </c>
      <c r="N14" s="18" t="n">
        <v>7.77</v>
      </c>
      <c r="O14" s="18" t="n">
        <v>37</v>
      </c>
      <c r="P14" s="18" t="s">
        <v>292</v>
      </c>
      <c r="Q14" s="22" t="n">
        <v>50</v>
      </c>
      <c r="R14" s="22" t="s">
        <v>8</v>
      </c>
      <c r="S14" s="18" t="s">
        <v>236</v>
      </c>
    </row>
    <row r="15" customFormat="false" ht="15" hidden="false" customHeight="false" outlineLevel="0" collapsed="false">
      <c r="A15" s="18" t="s">
        <v>126</v>
      </c>
      <c r="B15" s="18" t="s">
        <v>127</v>
      </c>
      <c r="C15" s="18" t="s">
        <v>80</v>
      </c>
      <c r="D15" s="18" t="s">
        <v>128</v>
      </c>
      <c r="E15" s="18" t="s">
        <v>129</v>
      </c>
      <c r="F15" s="18" t="s">
        <v>123</v>
      </c>
      <c r="G15" s="18" t="s">
        <v>101</v>
      </c>
      <c r="H15" s="18" t="s">
        <v>8</v>
      </c>
      <c r="I15" s="18" t="s">
        <v>131</v>
      </c>
      <c r="J15" s="18" t="s">
        <v>79</v>
      </c>
      <c r="K15" s="18" t="s">
        <v>84</v>
      </c>
      <c r="L15" s="18" t="n">
        <v>1</v>
      </c>
      <c r="M15" s="18" t="s">
        <v>92</v>
      </c>
      <c r="N15" s="18" t="n">
        <v>1.49</v>
      </c>
      <c r="O15" s="18" t="n">
        <v>28.6</v>
      </c>
      <c r="P15" s="18" t="s">
        <v>133</v>
      </c>
      <c r="Q15" s="22" t="n">
        <v>50</v>
      </c>
      <c r="R15" s="22" t="s">
        <v>8</v>
      </c>
      <c r="S15" s="18" t="s">
        <v>132</v>
      </c>
    </row>
    <row r="16" customFormat="false" ht="15" hidden="false" customHeight="false" outlineLevel="0" collapsed="false">
      <c r="A16" s="18" t="s">
        <v>264</v>
      </c>
      <c r="B16" s="18" t="s">
        <v>265</v>
      </c>
      <c r="C16" s="18" t="s">
        <v>80</v>
      </c>
      <c r="D16" s="18" t="s">
        <v>261</v>
      </c>
      <c r="E16" s="18" t="s">
        <v>266</v>
      </c>
      <c r="F16" s="18" t="s">
        <v>98</v>
      </c>
      <c r="G16" s="18" t="s">
        <v>101</v>
      </c>
      <c r="H16" s="18" t="s">
        <v>228</v>
      </c>
      <c r="I16" s="18" t="s">
        <v>229</v>
      </c>
      <c r="J16" s="18" t="s">
        <v>79</v>
      </c>
      <c r="K16" s="18" t="s">
        <v>84</v>
      </c>
      <c r="L16" s="18" t="n">
        <v>0</v>
      </c>
      <c r="M16" s="18" t="s">
        <v>170</v>
      </c>
      <c r="N16" s="18" t="n">
        <v>17.1</v>
      </c>
      <c r="O16" s="18" t="n">
        <v>20.8</v>
      </c>
      <c r="P16" s="18" t="s">
        <v>268</v>
      </c>
      <c r="Q16" s="22" t="n">
        <v>50</v>
      </c>
      <c r="R16" s="22" t="s">
        <v>8</v>
      </c>
      <c r="S16" s="18" t="s">
        <v>267</v>
      </c>
    </row>
    <row r="17" customFormat="false" ht="15" hidden="false" customHeight="false" outlineLevel="0" collapsed="false">
      <c r="A17" s="18" t="s">
        <v>232</v>
      </c>
      <c r="B17" s="18" t="s">
        <v>233</v>
      </c>
      <c r="C17" s="18" t="s">
        <v>100</v>
      </c>
      <c r="D17" s="18" t="s">
        <v>234</v>
      </c>
      <c r="E17" s="18" t="s">
        <v>235</v>
      </c>
      <c r="F17" s="18" t="s">
        <v>76</v>
      </c>
      <c r="G17" s="18" t="s">
        <v>82</v>
      </c>
      <c r="H17" s="18" t="s">
        <v>228</v>
      </c>
      <c r="I17" s="18" t="s">
        <v>229</v>
      </c>
      <c r="J17" s="18" t="s">
        <v>79</v>
      </c>
      <c r="K17" s="18" t="s">
        <v>84</v>
      </c>
      <c r="L17" s="18" t="n">
        <v>1</v>
      </c>
      <c r="M17" s="18" t="s">
        <v>78</v>
      </c>
      <c r="N17" s="18" t="n">
        <v>7.79</v>
      </c>
      <c r="O17" s="18" t="n">
        <v>19.1</v>
      </c>
      <c r="P17" s="18" t="s">
        <v>237</v>
      </c>
      <c r="Q17" s="22" t="n">
        <v>50</v>
      </c>
      <c r="R17" s="22" t="s">
        <v>8</v>
      </c>
      <c r="S17" s="18" t="s">
        <v>236</v>
      </c>
    </row>
  </sheetData>
  <autoFilter ref="A3:S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15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21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6" min="15" style="0" width="19"/>
    <col collapsed="false" customWidth="true" hidden="false" outlineLevel="0" max="17" min="17" style="0" width="12"/>
    <col collapsed="false" customWidth="true" hidden="false" outlineLevel="0" max="18" min="18" style="0" width="15"/>
    <col collapsed="false" customWidth="true" hidden="false" outlineLevel="0" max="19" min="19" style="0" width="34"/>
  </cols>
  <sheetData>
    <row r="1" customFormat="false" ht="15" hidden="false" customHeight="false" outlineLevel="0" collapsed="false">
      <c r="A1" s="11" t="s">
        <v>364</v>
      </c>
    </row>
    <row r="3" customFormat="false" ht="31.5" hidden="false" customHeight="true" outlineLevel="0" collapsed="false">
      <c r="A3" s="16" t="s">
        <v>40</v>
      </c>
      <c r="B3" s="16" t="s">
        <v>41</v>
      </c>
      <c r="C3" s="16" t="s">
        <v>52</v>
      </c>
      <c r="D3" s="16" t="s">
        <v>47</v>
      </c>
      <c r="E3" s="16" t="s">
        <v>48</v>
      </c>
      <c r="F3" s="16" t="s">
        <v>33</v>
      </c>
      <c r="G3" s="16" t="s">
        <v>61</v>
      </c>
      <c r="H3" s="16" t="s">
        <v>35</v>
      </c>
      <c r="I3" s="16" t="s">
        <v>62</v>
      </c>
      <c r="J3" s="16" t="s">
        <v>51</v>
      </c>
      <c r="K3" s="16" t="s">
        <v>63</v>
      </c>
      <c r="L3" s="16" t="s">
        <v>36</v>
      </c>
      <c r="M3" s="16" t="s">
        <v>50</v>
      </c>
      <c r="N3" s="16" t="s">
        <v>69</v>
      </c>
      <c r="O3" s="16" t="s">
        <v>54</v>
      </c>
      <c r="P3" s="16" t="s">
        <v>70</v>
      </c>
      <c r="Q3" s="16" t="s">
        <v>56</v>
      </c>
      <c r="R3" s="16" t="s">
        <v>57</v>
      </c>
      <c r="S3" s="16" t="s">
        <v>68</v>
      </c>
    </row>
    <row r="4" customFormat="false" ht="15" hidden="false" customHeight="false" outlineLevel="0" collapsed="false">
      <c r="A4" s="18" t="s">
        <v>325</v>
      </c>
      <c r="B4" s="18" t="s">
        <v>326</v>
      </c>
      <c r="C4" s="18" t="s">
        <v>80</v>
      </c>
      <c r="D4" s="18" t="s">
        <v>320</v>
      </c>
      <c r="E4" s="18" t="s">
        <v>316</v>
      </c>
      <c r="F4" s="18" t="s">
        <v>169</v>
      </c>
      <c r="G4" s="18" t="s">
        <v>101</v>
      </c>
      <c r="H4" s="18" t="s">
        <v>10</v>
      </c>
      <c r="I4" s="18" t="s">
        <v>83</v>
      </c>
      <c r="J4" s="18" t="s">
        <v>79</v>
      </c>
      <c r="K4" s="18" t="s">
        <v>84</v>
      </c>
      <c r="L4" s="18" t="n">
        <v>2</v>
      </c>
      <c r="M4" s="18" t="s">
        <v>92</v>
      </c>
      <c r="N4" s="18" t="n">
        <v>10.87</v>
      </c>
      <c r="O4" s="18" t="n">
        <v>40</v>
      </c>
      <c r="P4" s="18" t="s">
        <v>328</v>
      </c>
      <c r="Q4" s="21" t="n">
        <v>40</v>
      </c>
      <c r="R4" s="21" t="s">
        <v>9</v>
      </c>
      <c r="S4" s="18" t="s">
        <v>327</v>
      </c>
    </row>
    <row r="5" customFormat="false" ht="15" hidden="false" customHeight="false" outlineLevel="0" collapsed="false">
      <c r="A5" s="18" t="s">
        <v>284</v>
      </c>
      <c r="B5" s="18" t="s">
        <v>285</v>
      </c>
      <c r="C5" s="18" t="s">
        <v>80</v>
      </c>
      <c r="D5" s="18" t="s">
        <v>286</v>
      </c>
      <c r="E5" s="18" t="s">
        <v>287</v>
      </c>
      <c r="F5" s="18" t="s">
        <v>90</v>
      </c>
      <c r="G5" s="18" t="s">
        <v>93</v>
      </c>
      <c r="H5" s="18" t="s">
        <v>228</v>
      </c>
      <c r="I5" s="18" t="s">
        <v>229</v>
      </c>
      <c r="J5" s="18" t="s">
        <v>79</v>
      </c>
      <c r="K5" s="18" t="s">
        <v>84</v>
      </c>
      <c r="L5" s="18" t="n">
        <v>1</v>
      </c>
      <c r="M5" s="18" t="s">
        <v>92</v>
      </c>
      <c r="N5" s="18" t="n">
        <v>12.24</v>
      </c>
      <c r="O5" s="18" t="n">
        <v>29.8</v>
      </c>
      <c r="P5" s="18" t="s">
        <v>288</v>
      </c>
      <c r="Q5" s="21" t="n">
        <v>40</v>
      </c>
      <c r="R5" s="21" t="s">
        <v>9</v>
      </c>
      <c r="S5" s="18" t="s">
        <v>241</v>
      </c>
    </row>
    <row r="6" customFormat="false" ht="15" hidden="false" customHeight="false" outlineLevel="0" collapsed="false">
      <c r="A6" s="18" t="s">
        <v>134</v>
      </c>
      <c r="B6" s="18" t="s">
        <v>135</v>
      </c>
      <c r="C6" s="18" t="s">
        <v>80</v>
      </c>
      <c r="D6" s="18" t="s">
        <v>136</v>
      </c>
      <c r="E6" s="18" t="s">
        <v>137</v>
      </c>
      <c r="F6" s="18" t="s">
        <v>138</v>
      </c>
      <c r="G6" s="18" t="s">
        <v>101</v>
      </c>
      <c r="H6" s="18" t="s">
        <v>8</v>
      </c>
      <c r="I6" s="18" t="s">
        <v>131</v>
      </c>
      <c r="J6" s="18" t="s">
        <v>79</v>
      </c>
      <c r="K6" s="18" t="s">
        <v>84</v>
      </c>
      <c r="L6" s="18" t="n">
        <v>0</v>
      </c>
      <c r="M6" s="18" t="s">
        <v>78</v>
      </c>
      <c r="N6" s="18" t="n">
        <v>1.52</v>
      </c>
      <c r="O6" s="18" t="n">
        <v>26.7</v>
      </c>
      <c r="P6" s="18" t="s">
        <v>140</v>
      </c>
      <c r="Q6" s="21" t="n">
        <v>40</v>
      </c>
      <c r="R6" s="21" t="s">
        <v>9</v>
      </c>
      <c r="S6" s="18" t="s">
        <v>139</v>
      </c>
    </row>
    <row r="7" customFormat="false" ht="15" hidden="false" customHeight="false" outlineLevel="0" collapsed="false">
      <c r="A7" s="18" t="s">
        <v>160</v>
      </c>
      <c r="B7" s="18" t="s">
        <v>161</v>
      </c>
      <c r="C7" s="18" t="s">
        <v>80</v>
      </c>
      <c r="D7" s="18" t="s">
        <v>162</v>
      </c>
      <c r="E7" s="18" t="s">
        <v>163</v>
      </c>
      <c r="F7" s="18" t="s">
        <v>123</v>
      </c>
      <c r="G7" s="18" t="s">
        <v>101</v>
      </c>
      <c r="H7" s="18" t="s">
        <v>9</v>
      </c>
      <c r="I7" s="18" t="s">
        <v>82</v>
      </c>
      <c r="J7" s="18" t="s">
        <v>79</v>
      </c>
      <c r="K7" s="18" t="s">
        <v>84</v>
      </c>
      <c r="L7" s="18" t="n">
        <v>1</v>
      </c>
      <c r="M7" s="18" t="s">
        <v>92</v>
      </c>
      <c r="N7" s="18" t="n">
        <v>20.86</v>
      </c>
      <c r="O7" s="18" t="n">
        <v>23</v>
      </c>
      <c r="P7" s="18" t="s">
        <v>165</v>
      </c>
      <c r="Q7" s="21" t="n">
        <v>40</v>
      </c>
      <c r="R7" s="21" t="s">
        <v>9</v>
      </c>
      <c r="S7" s="18" t="s">
        <v>164</v>
      </c>
    </row>
    <row r="8" customFormat="false" ht="15" hidden="false" customHeight="false" outlineLevel="0" collapsed="false">
      <c r="A8" s="18" t="s">
        <v>281</v>
      </c>
      <c r="B8" s="18" t="s">
        <v>282</v>
      </c>
      <c r="C8" s="18" t="s">
        <v>80</v>
      </c>
      <c r="D8" s="18" t="s">
        <v>275</v>
      </c>
      <c r="E8" s="18" t="s">
        <v>283</v>
      </c>
      <c r="F8" s="18" t="s">
        <v>90</v>
      </c>
      <c r="G8" s="18" t="s">
        <v>93</v>
      </c>
      <c r="H8" s="18" t="s">
        <v>228</v>
      </c>
      <c r="I8" s="18" t="s">
        <v>229</v>
      </c>
      <c r="J8" s="18" t="s">
        <v>79</v>
      </c>
      <c r="K8" s="18" t="s">
        <v>84</v>
      </c>
      <c r="L8" s="18" t="n">
        <v>1</v>
      </c>
      <c r="M8" s="18" t="s">
        <v>92</v>
      </c>
      <c r="N8" s="18" t="n">
        <v>13.41</v>
      </c>
      <c r="O8" s="18" t="n">
        <v>22.4</v>
      </c>
      <c r="P8" s="18" t="s">
        <v>280</v>
      </c>
      <c r="Q8" s="21" t="n">
        <v>40</v>
      </c>
      <c r="R8" s="21" t="s">
        <v>9</v>
      </c>
      <c r="S8" s="18" t="s">
        <v>241</v>
      </c>
    </row>
    <row r="9" customFormat="false" ht="15" hidden="false" customHeight="false" outlineLevel="0" collapsed="false">
      <c r="A9" s="18" t="s">
        <v>249</v>
      </c>
      <c r="B9" s="18" t="s">
        <v>250</v>
      </c>
      <c r="C9" s="18" t="s">
        <v>80</v>
      </c>
      <c r="D9" s="18" t="s">
        <v>246</v>
      </c>
      <c r="E9" s="18" t="s">
        <v>251</v>
      </c>
      <c r="F9" s="18" t="s">
        <v>76</v>
      </c>
      <c r="G9" s="18" t="s">
        <v>82</v>
      </c>
      <c r="H9" s="18" t="s">
        <v>228</v>
      </c>
      <c r="I9" s="18" t="s">
        <v>229</v>
      </c>
      <c r="J9" s="18" t="s">
        <v>79</v>
      </c>
      <c r="K9" s="18" t="s">
        <v>84</v>
      </c>
      <c r="L9" s="18" t="n">
        <v>0</v>
      </c>
      <c r="M9" s="18" t="s">
        <v>92</v>
      </c>
      <c r="N9" s="18" t="n">
        <v>20.25</v>
      </c>
      <c r="O9" s="18" t="n">
        <v>21.6</v>
      </c>
      <c r="P9" s="18" t="s">
        <v>253</v>
      </c>
      <c r="Q9" s="21" t="n">
        <v>40</v>
      </c>
      <c r="R9" s="21" t="s">
        <v>9</v>
      </c>
      <c r="S9" s="18" t="s">
        <v>252</v>
      </c>
    </row>
    <row r="10" customFormat="false" ht="15" hidden="false" customHeight="false" outlineLevel="0" collapsed="false">
      <c r="A10" s="18" t="s">
        <v>238</v>
      </c>
      <c r="B10" s="18" t="s">
        <v>239</v>
      </c>
      <c r="C10" s="18" t="s">
        <v>80</v>
      </c>
      <c r="D10" s="18" t="s">
        <v>234</v>
      </c>
      <c r="E10" s="18" t="s">
        <v>240</v>
      </c>
      <c r="F10" s="18" t="s">
        <v>90</v>
      </c>
      <c r="G10" s="18" t="s">
        <v>93</v>
      </c>
      <c r="H10" s="18" t="s">
        <v>228</v>
      </c>
      <c r="I10" s="18" t="s">
        <v>229</v>
      </c>
      <c r="J10" s="18" t="s">
        <v>79</v>
      </c>
      <c r="K10" s="18" t="s">
        <v>84</v>
      </c>
      <c r="L10" s="18" t="n">
        <v>1</v>
      </c>
      <c r="M10" s="18" t="s">
        <v>78</v>
      </c>
      <c r="N10" s="18" t="n">
        <v>19.34</v>
      </c>
      <c r="O10" s="18" t="n">
        <v>18.5</v>
      </c>
      <c r="P10" s="18" t="s">
        <v>242</v>
      </c>
      <c r="Q10" s="21" t="n">
        <v>40</v>
      </c>
      <c r="R10" s="21" t="s">
        <v>9</v>
      </c>
      <c r="S10" s="18" t="s">
        <v>241</v>
      </c>
    </row>
    <row r="11" customFormat="false" ht="15" hidden="false" customHeight="false" outlineLevel="0" collapsed="false">
      <c r="A11" s="18" t="s">
        <v>166</v>
      </c>
      <c r="B11" s="18" t="s">
        <v>167</v>
      </c>
      <c r="C11" s="18" t="s">
        <v>80</v>
      </c>
      <c r="D11" s="18" t="s">
        <v>163</v>
      </c>
      <c r="E11" s="18" t="s">
        <v>168</v>
      </c>
      <c r="F11" s="18" t="s">
        <v>169</v>
      </c>
      <c r="G11" s="18" t="s">
        <v>101</v>
      </c>
      <c r="H11" s="18" t="s">
        <v>9</v>
      </c>
      <c r="I11" s="18" t="s">
        <v>82</v>
      </c>
      <c r="J11" s="18" t="s">
        <v>79</v>
      </c>
      <c r="K11" s="18" t="s">
        <v>84</v>
      </c>
      <c r="L11" s="18" t="n">
        <v>1</v>
      </c>
      <c r="M11" s="18" t="s">
        <v>170</v>
      </c>
      <c r="N11" s="18" t="n">
        <v>9.35</v>
      </c>
      <c r="O11" s="18" t="n">
        <v>17.7</v>
      </c>
      <c r="P11" s="18" t="s">
        <v>172</v>
      </c>
      <c r="Q11" s="21" t="n">
        <v>40</v>
      </c>
      <c r="R11" s="21" t="s">
        <v>9</v>
      </c>
      <c r="S11" s="18" t="s">
        <v>171</v>
      </c>
    </row>
    <row r="12" customFormat="false" ht="15" hidden="false" customHeight="false" outlineLevel="0" collapsed="false">
      <c r="A12" s="18" t="s">
        <v>148</v>
      </c>
      <c r="B12" s="18" t="s">
        <v>149</v>
      </c>
      <c r="C12" s="18" t="s">
        <v>80</v>
      </c>
      <c r="D12" s="18" t="s">
        <v>150</v>
      </c>
      <c r="E12" s="18" t="s">
        <v>151</v>
      </c>
      <c r="F12" s="18" t="s">
        <v>138</v>
      </c>
      <c r="G12" s="18" t="s">
        <v>101</v>
      </c>
      <c r="H12" s="18" t="s">
        <v>9</v>
      </c>
      <c r="I12" s="18" t="s">
        <v>82</v>
      </c>
      <c r="J12" s="18" t="s">
        <v>79</v>
      </c>
      <c r="K12" s="18" t="s">
        <v>84</v>
      </c>
      <c r="L12" s="18" t="n">
        <v>1</v>
      </c>
      <c r="M12" s="18" t="s">
        <v>92</v>
      </c>
      <c r="N12" s="18" t="n">
        <v>6.05</v>
      </c>
      <c r="O12" s="18" t="n">
        <v>17.4</v>
      </c>
      <c r="P12" s="18" t="s">
        <v>153</v>
      </c>
      <c r="Q12" s="21" t="n">
        <v>40</v>
      </c>
      <c r="R12" s="21" t="s">
        <v>9</v>
      </c>
      <c r="S12" s="18" t="s">
        <v>152</v>
      </c>
    </row>
    <row r="13" customFormat="false" ht="15" hidden="false" customHeight="false" outlineLevel="0" collapsed="false">
      <c r="A13" s="18" t="s">
        <v>178</v>
      </c>
      <c r="B13" s="18" t="s">
        <v>179</v>
      </c>
      <c r="C13" s="18" t="s">
        <v>80</v>
      </c>
      <c r="D13" s="18" t="s">
        <v>168</v>
      </c>
      <c r="E13" s="18" t="s">
        <v>180</v>
      </c>
      <c r="F13" s="18" t="s">
        <v>169</v>
      </c>
      <c r="G13" s="18" t="s">
        <v>101</v>
      </c>
      <c r="H13" s="18" t="s">
        <v>9</v>
      </c>
      <c r="I13" s="18" t="s">
        <v>82</v>
      </c>
      <c r="J13" s="18" t="s">
        <v>79</v>
      </c>
      <c r="K13" s="18" t="s">
        <v>84</v>
      </c>
      <c r="L13" s="18" t="n">
        <v>1</v>
      </c>
      <c r="M13" s="18" t="s">
        <v>78</v>
      </c>
      <c r="N13" s="18" t="n">
        <v>7.76</v>
      </c>
      <c r="O13" s="18" t="n">
        <v>16.5</v>
      </c>
      <c r="P13" s="18" t="s">
        <v>181</v>
      </c>
      <c r="Q13" s="21" t="n">
        <v>40</v>
      </c>
      <c r="R13" s="21" t="s">
        <v>9</v>
      </c>
      <c r="S13" s="18" t="s">
        <v>171</v>
      </c>
    </row>
    <row r="14" customFormat="false" ht="15" hidden="false" customHeight="false" outlineLevel="0" collapsed="false">
      <c r="A14" s="18" t="s">
        <v>197</v>
      </c>
      <c r="B14" s="18" t="s">
        <v>198</v>
      </c>
      <c r="C14" s="18" t="s">
        <v>100</v>
      </c>
      <c r="D14" s="18" t="s">
        <v>199</v>
      </c>
      <c r="E14" s="18" t="s">
        <v>200</v>
      </c>
      <c r="F14" s="18" t="s">
        <v>169</v>
      </c>
      <c r="G14" s="18" t="s">
        <v>101</v>
      </c>
      <c r="H14" s="18" t="s">
        <v>9</v>
      </c>
      <c r="I14" s="18" t="s">
        <v>82</v>
      </c>
      <c r="J14" s="18" t="s">
        <v>79</v>
      </c>
      <c r="K14" s="18" t="s">
        <v>84</v>
      </c>
      <c r="L14" s="18" t="n">
        <v>1</v>
      </c>
      <c r="M14" s="18" t="s">
        <v>92</v>
      </c>
      <c r="N14" s="18" t="n">
        <v>4.4</v>
      </c>
      <c r="O14" s="18" t="n">
        <v>14.3</v>
      </c>
      <c r="P14" s="18" t="s">
        <v>201</v>
      </c>
      <c r="Q14" s="21" t="n">
        <v>40</v>
      </c>
      <c r="R14" s="21" t="s">
        <v>9</v>
      </c>
      <c r="S14" s="18" t="s">
        <v>171</v>
      </c>
    </row>
    <row r="15" customFormat="false" ht="15" hidden="false" customHeight="false" outlineLevel="0" collapsed="false">
      <c r="A15" s="18" t="s">
        <v>318</v>
      </c>
      <c r="B15" s="18" t="s">
        <v>319</v>
      </c>
      <c r="C15" s="18" t="s">
        <v>100</v>
      </c>
      <c r="D15" s="18" t="s">
        <v>310</v>
      </c>
      <c r="E15" s="18" t="s">
        <v>320</v>
      </c>
      <c r="F15" s="18" t="s">
        <v>138</v>
      </c>
      <c r="G15" s="18" t="s">
        <v>101</v>
      </c>
      <c r="H15" s="18" t="s">
        <v>10</v>
      </c>
      <c r="I15" s="18" t="s">
        <v>83</v>
      </c>
      <c r="J15" s="18" t="s">
        <v>79</v>
      </c>
      <c r="K15" s="18" t="s">
        <v>84</v>
      </c>
      <c r="L15" s="18" t="n">
        <v>1</v>
      </c>
      <c r="M15" s="18" t="s">
        <v>92</v>
      </c>
      <c r="N15" s="18" t="n">
        <v>16.11</v>
      </c>
      <c r="O15" s="18" t="n">
        <v>36.8</v>
      </c>
      <c r="P15" s="18" t="s">
        <v>321</v>
      </c>
      <c r="Q15" s="21" t="n">
        <v>30</v>
      </c>
      <c r="R15" s="21" t="s">
        <v>9</v>
      </c>
      <c r="S15" s="18" t="s">
        <v>222</v>
      </c>
    </row>
    <row r="16" customFormat="false" ht="15" hidden="false" customHeight="false" outlineLevel="0" collapsed="false">
      <c r="A16" s="18" t="s">
        <v>173</v>
      </c>
      <c r="B16" s="18" t="s">
        <v>174</v>
      </c>
      <c r="C16" s="18" t="s">
        <v>80</v>
      </c>
      <c r="D16" s="18" t="s">
        <v>163</v>
      </c>
      <c r="E16" s="18" t="s">
        <v>175</v>
      </c>
      <c r="F16" s="18" t="s">
        <v>76</v>
      </c>
      <c r="G16" s="18" t="s">
        <v>82</v>
      </c>
      <c r="H16" s="18" t="s">
        <v>9</v>
      </c>
      <c r="I16" s="18" t="s">
        <v>82</v>
      </c>
      <c r="J16" s="18" t="s">
        <v>79</v>
      </c>
      <c r="K16" s="18" t="s">
        <v>84</v>
      </c>
      <c r="L16" s="18" t="n">
        <v>1</v>
      </c>
      <c r="M16" s="18" t="s">
        <v>170</v>
      </c>
      <c r="N16" s="18" t="n">
        <v>10.91</v>
      </c>
      <c r="O16" s="18" t="n">
        <v>34.6</v>
      </c>
      <c r="P16" s="18" t="s">
        <v>177</v>
      </c>
      <c r="Q16" s="21" t="n">
        <v>30</v>
      </c>
      <c r="R16" s="21" t="s">
        <v>9</v>
      </c>
      <c r="S16" s="18" t="s">
        <v>176</v>
      </c>
    </row>
    <row r="17" customFormat="false" ht="15" hidden="false" customHeight="false" outlineLevel="0" collapsed="false">
      <c r="A17" s="18" t="s">
        <v>110</v>
      </c>
      <c r="B17" s="18" t="s">
        <v>111</v>
      </c>
      <c r="C17" s="18" t="s">
        <v>80</v>
      </c>
      <c r="D17" s="18" t="s">
        <v>112</v>
      </c>
      <c r="E17" s="18" t="s">
        <v>113</v>
      </c>
      <c r="F17" s="18" t="s">
        <v>98</v>
      </c>
      <c r="G17" s="18" t="s">
        <v>101</v>
      </c>
      <c r="H17" s="18" t="s">
        <v>10</v>
      </c>
      <c r="I17" s="18" t="s">
        <v>83</v>
      </c>
      <c r="J17" s="18" t="s">
        <v>79</v>
      </c>
      <c r="K17" s="18" t="s">
        <v>84</v>
      </c>
      <c r="L17" s="18" t="n">
        <v>1</v>
      </c>
      <c r="M17" s="18" t="s">
        <v>78</v>
      </c>
      <c r="N17" s="18" t="n">
        <v>3.11</v>
      </c>
      <c r="O17" s="18" t="n">
        <v>24.6</v>
      </c>
      <c r="P17" s="18" t="s">
        <v>115</v>
      </c>
      <c r="Q17" s="21" t="n">
        <v>30</v>
      </c>
      <c r="R17" s="21" t="s">
        <v>9</v>
      </c>
      <c r="S17" s="18" t="s">
        <v>114</v>
      </c>
    </row>
    <row r="18" customFormat="false" ht="15" hidden="false" customHeight="false" outlineLevel="0" collapsed="false">
      <c r="A18" s="18" t="s">
        <v>121</v>
      </c>
      <c r="B18" s="18" t="s">
        <v>122</v>
      </c>
      <c r="C18" s="18" t="s">
        <v>80</v>
      </c>
      <c r="D18" s="18" t="s">
        <v>118</v>
      </c>
      <c r="E18" s="18" t="s">
        <v>119</v>
      </c>
      <c r="F18" s="18" t="s">
        <v>123</v>
      </c>
      <c r="G18" s="18" t="s">
        <v>101</v>
      </c>
      <c r="H18" s="18" t="s">
        <v>10</v>
      </c>
      <c r="I18" s="18" t="s">
        <v>83</v>
      </c>
      <c r="J18" s="18" t="s">
        <v>79</v>
      </c>
      <c r="K18" s="18" t="s">
        <v>84</v>
      </c>
      <c r="L18" s="18" t="n">
        <v>1</v>
      </c>
      <c r="M18" s="18" t="s">
        <v>92</v>
      </c>
      <c r="N18" s="18" t="n">
        <v>1.56</v>
      </c>
      <c r="O18" s="18" t="n">
        <v>23.8</v>
      </c>
      <c r="P18" s="18" t="s">
        <v>125</v>
      </c>
      <c r="Q18" s="21" t="n">
        <v>30</v>
      </c>
      <c r="R18" s="21" t="s">
        <v>9</v>
      </c>
      <c r="S18" s="18" t="s">
        <v>124</v>
      </c>
    </row>
    <row r="19" customFormat="false" ht="15" hidden="false" customHeight="false" outlineLevel="0" collapsed="false">
      <c r="A19" s="18" t="s">
        <v>302</v>
      </c>
      <c r="B19" s="18" t="s">
        <v>303</v>
      </c>
      <c r="C19" s="18" t="s">
        <v>80</v>
      </c>
      <c r="D19" s="18" t="s">
        <v>304</v>
      </c>
      <c r="E19" s="18" t="s">
        <v>305</v>
      </c>
      <c r="F19" s="18" t="s">
        <v>123</v>
      </c>
      <c r="G19" s="18" t="s">
        <v>101</v>
      </c>
      <c r="H19" s="18" t="s">
        <v>10</v>
      </c>
      <c r="I19" s="18" t="s">
        <v>83</v>
      </c>
      <c r="J19" s="18" t="s">
        <v>79</v>
      </c>
      <c r="K19" s="18" t="s">
        <v>84</v>
      </c>
      <c r="L19" s="18" t="n">
        <v>1</v>
      </c>
      <c r="M19" s="18" t="s">
        <v>92</v>
      </c>
      <c r="N19" s="18" t="n">
        <v>13.97</v>
      </c>
      <c r="O19" s="18" t="n">
        <v>23.2</v>
      </c>
      <c r="P19" s="18" t="s">
        <v>306</v>
      </c>
      <c r="Q19" s="21" t="n">
        <v>30</v>
      </c>
      <c r="R19" s="21" t="s">
        <v>9</v>
      </c>
      <c r="S19" s="18" t="s">
        <v>124</v>
      </c>
    </row>
    <row r="20" customFormat="false" ht="15" hidden="false" customHeight="false" outlineLevel="0" collapsed="false">
      <c r="A20" s="18" t="s">
        <v>193</v>
      </c>
      <c r="B20" s="18" t="s">
        <v>194</v>
      </c>
      <c r="C20" s="18" t="s">
        <v>80</v>
      </c>
      <c r="D20" s="18" t="s">
        <v>190</v>
      </c>
      <c r="E20" s="18" t="s">
        <v>191</v>
      </c>
      <c r="F20" s="18" t="s">
        <v>138</v>
      </c>
      <c r="G20" s="18" t="s">
        <v>101</v>
      </c>
      <c r="H20" s="18" t="s">
        <v>9</v>
      </c>
      <c r="I20" s="18" t="s">
        <v>82</v>
      </c>
      <c r="J20" s="18" t="s">
        <v>79</v>
      </c>
      <c r="K20" s="18" t="s">
        <v>84</v>
      </c>
      <c r="L20" s="18" t="n">
        <v>0</v>
      </c>
      <c r="M20" s="18" t="s">
        <v>78</v>
      </c>
      <c r="N20" s="18" t="n">
        <v>9.12</v>
      </c>
      <c r="O20" s="18" t="n">
        <v>17.2</v>
      </c>
      <c r="P20" s="18" t="s">
        <v>196</v>
      </c>
      <c r="Q20" s="21" t="n">
        <v>30</v>
      </c>
      <c r="R20" s="21" t="s">
        <v>9</v>
      </c>
      <c r="S20" s="18" t="s">
        <v>195</v>
      </c>
    </row>
    <row r="21" customFormat="false" ht="15" hidden="false" customHeight="false" outlineLevel="0" collapsed="false">
      <c r="A21" s="18" t="s">
        <v>339</v>
      </c>
      <c r="B21" s="18" t="s">
        <v>340</v>
      </c>
      <c r="C21" s="18" t="s">
        <v>80</v>
      </c>
      <c r="D21" s="18" t="s">
        <v>337</v>
      </c>
      <c r="E21" s="18" t="s">
        <v>221</v>
      </c>
      <c r="F21" s="18" t="s">
        <v>123</v>
      </c>
      <c r="G21" s="18" t="s">
        <v>101</v>
      </c>
      <c r="H21" s="18" t="s">
        <v>10</v>
      </c>
      <c r="I21" s="18" t="s">
        <v>83</v>
      </c>
      <c r="J21" s="18" t="s">
        <v>79</v>
      </c>
      <c r="K21" s="18" t="s">
        <v>84</v>
      </c>
      <c r="L21" s="18" t="n">
        <v>1</v>
      </c>
      <c r="M21" s="18" t="s">
        <v>78</v>
      </c>
      <c r="N21" s="18" t="n">
        <v>7.6</v>
      </c>
      <c r="O21" s="18" t="n">
        <v>16.1</v>
      </c>
      <c r="P21" s="18" t="s">
        <v>341</v>
      </c>
      <c r="Q21" s="21" t="n">
        <v>30</v>
      </c>
      <c r="R21" s="21" t="s">
        <v>9</v>
      </c>
      <c r="S21" s="18" t="s">
        <v>124</v>
      </c>
    </row>
    <row r="22" customFormat="false" ht="15" hidden="false" customHeight="false" outlineLevel="0" collapsed="false">
      <c r="A22" s="18" t="s">
        <v>313</v>
      </c>
      <c r="B22" s="18" t="s">
        <v>314</v>
      </c>
      <c r="C22" s="18" t="s">
        <v>100</v>
      </c>
      <c r="D22" s="18" t="s">
        <v>315</v>
      </c>
      <c r="E22" s="18" t="s">
        <v>316</v>
      </c>
      <c r="F22" s="18" t="s">
        <v>123</v>
      </c>
      <c r="G22" s="18" t="s">
        <v>101</v>
      </c>
      <c r="H22" s="18" t="s">
        <v>10</v>
      </c>
      <c r="I22" s="18" t="s">
        <v>83</v>
      </c>
      <c r="J22" s="18" t="s">
        <v>79</v>
      </c>
      <c r="K22" s="18" t="s">
        <v>84</v>
      </c>
      <c r="L22" s="18" t="n">
        <v>1</v>
      </c>
      <c r="M22" s="18" t="s">
        <v>92</v>
      </c>
      <c r="N22" s="18" t="n">
        <v>13.97</v>
      </c>
      <c r="O22" s="18" t="n">
        <v>15.7</v>
      </c>
      <c r="P22" s="18" t="s">
        <v>317</v>
      </c>
      <c r="Q22" s="21" t="n">
        <v>30</v>
      </c>
      <c r="R22" s="21" t="s">
        <v>9</v>
      </c>
      <c r="S22" s="18" t="s">
        <v>124</v>
      </c>
    </row>
    <row r="23" customFormat="false" ht="15" hidden="false" customHeight="false" outlineLevel="0" collapsed="false">
      <c r="A23" s="18" t="s">
        <v>219</v>
      </c>
      <c r="B23" s="18" t="s">
        <v>220</v>
      </c>
      <c r="C23" s="18" t="s">
        <v>100</v>
      </c>
      <c r="D23" s="18" t="s">
        <v>216</v>
      </c>
      <c r="E23" s="18" t="s">
        <v>221</v>
      </c>
      <c r="F23" s="18" t="s">
        <v>138</v>
      </c>
      <c r="G23" s="18" t="s">
        <v>101</v>
      </c>
      <c r="H23" s="18" t="s">
        <v>10</v>
      </c>
      <c r="I23" s="18" t="s">
        <v>83</v>
      </c>
      <c r="J23" s="18" t="s">
        <v>79</v>
      </c>
      <c r="K23" s="18" t="s">
        <v>84</v>
      </c>
      <c r="L23" s="18" t="n">
        <v>1</v>
      </c>
      <c r="M23" s="18" t="s">
        <v>92</v>
      </c>
      <c r="N23" s="18" t="n">
        <v>7.66</v>
      </c>
      <c r="O23" s="18" t="n">
        <v>15</v>
      </c>
      <c r="P23" s="18" t="s">
        <v>223</v>
      </c>
      <c r="Q23" s="21" t="n">
        <v>30</v>
      </c>
      <c r="R23" s="21" t="s">
        <v>9</v>
      </c>
      <c r="S23" s="18" t="s">
        <v>222</v>
      </c>
    </row>
    <row r="24" customFormat="false" ht="15" hidden="false" customHeight="false" outlineLevel="0" collapsed="false">
      <c r="A24" s="18" t="s">
        <v>322</v>
      </c>
      <c r="B24" s="18" t="s">
        <v>323</v>
      </c>
      <c r="C24" s="18" t="s">
        <v>100</v>
      </c>
      <c r="D24" s="18" t="s">
        <v>310</v>
      </c>
      <c r="E24" s="18" t="s">
        <v>316</v>
      </c>
      <c r="F24" s="18" t="s">
        <v>98</v>
      </c>
      <c r="G24" s="18" t="s">
        <v>101</v>
      </c>
      <c r="H24" s="18" t="s">
        <v>10</v>
      </c>
      <c r="I24" s="18" t="s">
        <v>83</v>
      </c>
      <c r="J24" s="18" t="s">
        <v>79</v>
      </c>
      <c r="K24" s="18" t="s">
        <v>84</v>
      </c>
      <c r="L24" s="18" t="n">
        <v>1</v>
      </c>
      <c r="M24" s="18" t="s">
        <v>78</v>
      </c>
      <c r="N24" s="18" t="n">
        <v>20.18</v>
      </c>
      <c r="O24" s="18" t="n">
        <v>14.5</v>
      </c>
      <c r="P24" s="18" t="s">
        <v>324</v>
      </c>
      <c r="Q24" s="21" t="n">
        <v>30</v>
      </c>
      <c r="R24" s="21" t="s">
        <v>9</v>
      </c>
      <c r="S24" s="18" t="s">
        <v>114</v>
      </c>
    </row>
    <row r="25" customFormat="false" ht="15" hidden="false" customHeight="false" outlineLevel="0" collapsed="false">
      <c r="A25" s="18" t="s">
        <v>210</v>
      </c>
      <c r="B25" s="18" t="s">
        <v>211</v>
      </c>
      <c r="C25" s="18" t="s">
        <v>100</v>
      </c>
      <c r="D25" s="18" t="s">
        <v>204</v>
      </c>
      <c r="E25" s="18" t="s">
        <v>212</v>
      </c>
      <c r="F25" s="18" t="s">
        <v>169</v>
      </c>
      <c r="G25" s="18" t="s">
        <v>101</v>
      </c>
      <c r="H25" s="18" t="s">
        <v>9</v>
      </c>
      <c r="I25" s="18" t="s">
        <v>82</v>
      </c>
      <c r="J25" s="18" t="s">
        <v>79</v>
      </c>
      <c r="K25" s="18" t="s">
        <v>84</v>
      </c>
      <c r="L25" s="18" t="n">
        <v>0</v>
      </c>
      <c r="M25" s="18" t="s">
        <v>78</v>
      </c>
      <c r="N25" s="18" t="n">
        <v>7.65</v>
      </c>
      <c r="O25" s="18" t="n">
        <v>14.3</v>
      </c>
      <c r="P25" s="18" t="s">
        <v>205</v>
      </c>
      <c r="Q25" s="21" t="n">
        <v>30</v>
      </c>
      <c r="R25" s="21" t="s">
        <v>9</v>
      </c>
      <c r="S25" s="18" t="s">
        <v>213</v>
      </c>
    </row>
    <row r="26" customFormat="false" ht="15" hidden="false" customHeight="false" outlineLevel="0" collapsed="false">
      <c r="A26" s="18" t="s">
        <v>154</v>
      </c>
      <c r="B26" s="18" t="s">
        <v>155</v>
      </c>
      <c r="C26" s="18" t="s">
        <v>100</v>
      </c>
      <c r="D26" s="18" t="s">
        <v>156</v>
      </c>
      <c r="E26" s="18" t="s">
        <v>157</v>
      </c>
      <c r="F26" s="18" t="s">
        <v>90</v>
      </c>
      <c r="G26" s="18" t="s">
        <v>93</v>
      </c>
      <c r="H26" s="18" t="s">
        <v>9</v>
      </c>
      <c r="I26" s="18" t="s">
        <v>82</v>
      </c>
      <c r="J26" s="18" t="s">
        <v>79</v>
      </c>
      <c r="K26" s="18" t="s">
        <v>84</v>
      </c>
      <c r="L26" s="18" t="n">
        <v>1</v>
      </c>
      <c r="M26" s="18" t="s">
        <v>92</v>
      </c>
      <c r="N26" s="18" t="n">
        <v>10.91</v>
      </c>
      <c r="O26" s="18" t="n">
        <v>30.4</v>
      </c>
      <c r="P26" s="18" t="s">
        <v>159</v>
      </c>
      <c r="Q26" s="20" t="n">
        <v>20</v>
      </c>
      <c r="R26" s="20" t="s">
        <v>10</v>
      </c>
      <c r="S26" s="18" t="s">
        <v>158</v>
      </c>
    </row>
    <row r="27" customFormat="false" ht="15" hidden="false" customHeight="false" outlineLevel="0" collapsed="false">
      <c r="A27" s="18" t="s">
        <v>116</v>
      </c>
      <c r="B27" s="18" t="s">
        <v>117</v>
      </c>
      <c r="C27" s="18" t="s">
        <v>80</v>
      </c>
      <c r="D27" s="18" t="s">
        <v>118</v>
      </c>
      <c r="E27" s="18" t="s">
        <v>119</v>
      </c>
      <c r="F27" s="18" t="s">
        <v>76</v>
      </c>
      <c r="G27" s="18" t="s">
        <v>82</v>
      </c>
      <c r="H27" s="18" t="s">
        <v>10</v>
      </c>
      <c r="I27" s="18" t="s">
        <v>83</v>
      </c>
      <c r="J27" s="18" t="s">
        <v>79</v>
      </c>
      <c r="K27" s="18" t="s">
        <v>84</v>
      </c>
      <c r="L27" s="18" t="n">
        <v>1</v>
      </c>
      <c r="M27" s="18" t="s">
        <v>78</v>
      </c>
      <c r="N27" s="18" t="n">
        <v>3.11</v>
      </c>
      <c r="O27" s="18" t="n">
        <v>25.1</v>
      </c>
      <c r="P27" s="18" t="s">
        <v>120</v>
      </c>
      <c r="Q27" s="20" t="n">
        <v>20</v>
      </c>
      <c r="R27" s="20" t="s">
        <v>10</v>
      </c>
      <c r="S27" s="18" t="s">
        <v>108</v>
      </c>
    </row>
    <row r="28" customFormat="false" ht="15" hidden="false" customHeight="false" outlineLevel="0" collapsed="false">
      <c r="A28" s="18" t="s">
        <v>104</v>
      </c>
      <c r="B28" s="18" t="s">
        <v>105</v>
      </c>
      <c r="C28" s="18" t="s">
        <v>80</v>
      </c>
      <c r="D28" s="18" t="s">
        <v>106</v>
      </c>
      <c r="E28" s="18" t="s">
        <v>107</v>
      </c>
      <c r="F28" s="18" t="s">
        <v>76</v>
      </c>
      <c r="G28" s="18" t="s">
        <v>82</v>
      </c>
      <c r="H28" s="18" t="s">
        <v>10</v>
      </c>
      <c r="I28" s="18" t="s">
        <v>83</v>
      </c>
      <c r="J28" s="18" t="s">
        <v>79</v>
      </c>
      <c r="K28" s="18" t="s">
        <v>84</v>
      </c>
      <c r="L28" s="18" t="n">
        <v>1</v>
      </c>
      <c r="M28" s="18" t="s">
        <v>92</v>
      </c>
      <c r="N28" s="18" t="n">
        <v>1.55</v>
      </c>
      <c r="O28" s="18" t="n">
        <v>22.1</v>
      </c>
      <c r="P28" s="18" t="s">
        <v>109</v>
      </c>
      <c r="Q28" s="20" t="n">
        <v>20</v>
      </c>
      <c r="R28" s="20" t="s">
        <v>10</v>
      </c>
      <c r="S28" s="18" t="s">
        <v>108</v>
      </c>
    </row>
    <row r="29" customFormat="false" ht="15" hidden="false" customHeight="false" outlineLevel="0" collapsed="false">
      <c r="A29" s="18" t="s">
        <v>202</v>
      </c>
      <c r="B29" s="18" t="s">
        <v>203</v>
      </c>
      <c r="C29" s="18" t="s">
        <v>80</v>
      </c>
      <c r="D29" s="18" t="s">
        <v>200</v>
      </c>
      <c r="E29" s="18" t="s">
        <v>204</v>
      </c>
      <c r="F29" s="18" t="s">
        <v>90</v>
      </c>
      <c r="G29" s="18" t="s">
        <v>93</v>
      </c>
      <c r="H29" s="18" t="s">
        <v>9</v>
      </c>
      <c r="I29" s="18" t="s">
        <v>82</v>
      </c>
      <c r="J29" s="18" t="s">
        <v>79</v>
      </c>
      <c r="K29" s="18" t="s">
        <v>84</v>
      </c>
      <c r="L29" s="18" t="n">
        <v>1</v>
      </c>
      <c r="M29" s="18" t="s">
        <v>78</v>
      </c>
      <c r="N29" s="18" t="n">
        <v>7.77</v>
      </c>
      <c r="O29" s="18" t="n">
        <v>19.5</v>
      </c>
      <c r="P29" s="18" t="s">
        <v>205</v>
      </c>
      <c r="Q29" s="20" t="n">
        <v>20</v>
      </c>
      <c r="R29" s="20" t="s">
        <v>10</v>
      </c>
      <c r="S29" s="18" t="s">
        <v>158</v>
      </c>
    </row>
    <row r="30" customFormat="false" ht="15" hidden="false" customHeight="false" outlineLevel="0" collapsed="false">
      <c r="A30" s="18" t="s">
        <v>334</v>
      </c>
      <c r="B30" s="18" t="s">
        <v>335</v>
      </c>
      <c r="C30" s="18" t="s">
        <v>100</v>
      </c>
      <c r="D30" s="18" t="s">
        <v>336</v>
      </c>
      <c r="E30" s="18" t="s">
        <v>337</v>
      </c>
      <c r="F30" s="18" t="s">
        <v>76</v>
      </c>
      <c r="G30" s="18" t="s">
        <v>82</v>
      </c>
      <c r="H30" s="18" t="s">
        <v>10</v>
      </c>
      <c r="I30" s="18" t="s">
        <v>83</v>
      </c>
      <c r="J30" s="18" t="s">
        <v>79</v>
      </c>
      <c r="K30" s="18" t="s">
        <v>84</v>
      </c>
      <c r="L30" s="18" t="n">
        <v>1</v>
      </c>
      <c r="M30" s="18" t="s">
        <v>78</v>
      </c>
      <c r="N30" s="18" t="n">
        <v>13.63</v>
      </c>
      <c r="O30" s="18" t="n">
        <v>14.5</v>
      </c>
      <c r="P30" s="18" t="s">
        <v>338</v>
      </c>
      <c r="Q30" s="20" t="n">
        <v>20</v>
      </c>
      <c r="R30" s="20" t="s">
        <v>10</v>
      </c>
      <c r="S30" s="18" t="s">
        <v>108</v>
      </c>
    </row>
    <row r="31" customFormat="false" ht="15" hidden="false" customHeight="false" outlineLevel="0" collapsed="false">
      <c r="A31" s="18" t="s">
        <v>96</v>
      </c>
      <c r="B31" s="18" t="s">
        <v>97</v>
      </c>
      <c r="C31" s="18" t="s">
        <v>100</v>
      </c>
      <c r="D31" s="18" t="s">
        <v>74</v>
      </c>
      <c r="E31" s="18" t="s">
        <v>75</v>
      </c>
      <c r="F31" s="18" t="s">
        <v>98</v>
      </c>
      <c r="G31" s="18" t="s">
        <v>101</v>
      </c>
      <c r="H31" s="18" t="s">
        <v>10</v>
      </c>
      <c r="I31" s="18" t="s">
        <v>83</v>
      </c>
      <c r="J31" s="18" t="s">
        <v>79</v>
      </c>
      <c r="K31" s="18" t="s">
        <v>84</v>
      </c>
      <c r="L31" s="18" t="n">
        <v>0</v>
      </c>
      <c r="M31" s="18" t="s">
        <v>78</v>
      </c>
      <c r="N31" s="18" t="n">
        <v>1.53</v>
      </c>
      <c r="O31" s="18" t="n">
        <v>13.4</v>
      </c>
      <c r="P31" s="18" t="s">
        <v>103</v>
      </c>
      <c r="Q31" s="20" t="n">
        <v>20</v>
      </c>
      <c r="R31" s="20" t="s">
        <v>10</v>
      </c>
      <c r="S31" s="18" t="s">
        <v>102</v>
      </c>
    </row>
    <row r="32" customFormat="false" ht="15" hidden="false" customHeight="false" outlineLevel="0" collapsed="false">
      <c r="A32" s="18" t="s">
        <v>182</v>
      </c>
      <c r="B32" s="18" t="s">
        <v>183</v>
      </c>
      <c r="C32" s="18" t="s">
        <v>80</v>
      </c>
      <c r="D32" s="18" t="s">
        <v>184</v>
      </c>
      <c r="E32" s="18" t="s">
        <v>185</v>
      </c>
      <c r="F32" s="18" t="s">
        <v>90</v>
      </c>
      <c r="G32" s="18" t="s">
        <v>93</v>
      </c>
      <c r="H32" s="18" t="s">
        <v>9</v>
      </c>
      <c r="I32" s="18" t="s">
        <v>82</v>
      </c>
      <c r="J32" s="18" t="s">
        <v>79</v>
      </c>
      <c r="K32" s="18" t="s">
        <v>84</v>
      </c>
      <c r="L32" s="18" t="n">
        <v>0</v>
      </c>
      <c r="M32" s="18" t="s">
        <v>92</v>
      </c>
      <c r="N32" s="18" t="n">
        <v>20.18</v>
      </c>
      <c r="O32" s="18" t="n">
        <v>38.2</v>
      </c>
      <c r="P32" s="18" t="s">
        <v>187</v>
      </c>
      <c r="Q32" s="20" t="n">
        <v>10</v>
      </c>
      <c r="R32" s="20" t="s">
        <v>10</v>
      </c>
      <c r="S32" s="18" t="s">
        <v>186</v>
      </c>
    </row>
    <row r="33" customFormat="false" ht="15" hidden="false" customHeight="false" outlineLevel="0" collapsed="false">
      <c r="A33" s="18" t="s">
        <v>329</v>
      </c>
      <c r="B33" s="18" t="s">
        <v>330</v>
      </c>
      <c r="C33" s="18" t="s">
        <v>80</v>
      </c>
      <c r="D33" s="18" t="s">
        <v>331</v>
      </c>
      <c r="E33" s="18" t="s">
        <v>332</v>
      </c>
      <c r="F33" s="18" t="s">
        <v>76</v>
      </c>
      <c r="G33" s="18" t="s">
        <v>82</v>
      </c>
      <c r="H33" s="18" t="s">
        <v>10</v>
      </c>
      <c r="I33" s="18" t="s">
        <v>83</v>
      </c>
      <c r="J33" s="18" t="s">
        <v>79</v>
      </c>
      <c r="K33" s="18" t="s">
        <v>84</v>
      </c>
      <c r="L33" s="18" t="n">
        <v>0</v>
      </c>
      <c r="M33" s="18" t="s">
        <v>92</v>
      </c>
      <c r="N33" s="18" t="n">
        <v>19.76</v>
      </c>
      <c r="O33" s="18" t="n">
        <v>24.6</v>
      </c>
      <c r="P33" s="18" t="s">
        <v>333</v>
      </c>
      <c r="Q33" s="20" t="n">
        <v>10</v>
      </c>
      <c r="R33" s="20" t="s">
        <v>10</v>
      </c>
      <c r="S33" s="18" t="s">
        <v>85</v>
      </c>
    </row>
    <row r="34" customFormat="false" ht="15" hidden="false" customHeight="false" outlineLevel="0" collapsed="false">
      <c r="A34" s="18" t="s">
        <v>71</v>
      </c>
      <c r="B34" s="18" t="s">
        <v>72</v>
      </c>
      <c r="C34" s="18" t="s">
        <v>80</v>
      </c>
      <c r="D34" s="18" t="s">
        <v>74</v>
      </c>
      <c r="E34" s="18" t="s">
        <v>75</v>
      </c>
      <c r="F34" s="18" t="s">
        <v>76</v>
      </c>
      <c r="G34" s="18" t="s">
        <v>82</v>
      </c>
      <c r="H34" s="18" t="s">
        <v>10</v>
      </c>
      <c r="I34" s="18" t="s">
        <v>83</v>
      </c>
      <c r="J34" s="18" t="s">
        <v>79</v>
      </c>
      <c r="K34" s="18" t="s">
        <v>84</v>
      </c>
      <c r="L34" s="18" t="n">
        <v>0</v>
      </c>
      <c r="M34" s="18" t="s">
        <v>78</v>
      </c>
      <c r="N34" s="18" t="n">
        <v>2.98</v>
      </c>
      <c r="O34" s="18" t="n">
        <v>23.8</v>
      </c>
      <c r="P34" s="18" t="s">
        <v>86</v>
      </c>
      <c r="Q34" s="20" t="n">
        <v>10</v>
      </c>
      <c r="R34" s="20" t="s">
        <v>10</v>
      </c>
      <c r="S34" s="18" t="s">
        <v>85</v>
      </c>
    </row>
    <row r="35" customFormat="false" ht="15" hidden="false" customHeight="false" outlineLevel="0" collapsed="false">
      <c r="A35" s="18" t="s">
        <v>188</v>
      </c>
      <c r="B35" s="18" t="s">
        <v>189</v>
      </c>
      <c r="C35" s="18" t="s">
        <v>80</v>
      </c>
      <c r="D35" s="18" t="s">
        <v>190</v>
      </c>
      <c r="E35" s="18" t="s">
        <v>191</v>
      </c>
      <c r="F35" s="18" t="s">
        <v>90</v>
      </c>
      <c r="G35" s="18" t="s">
        <v>93</v>
      </c>
      <c r="H35" s="18" t="s">
        <v>9</v>
      </c>
      <c r="I35" s="18" t="s">
        <v>82</v>
      </c>
      <c r="J35" s="18" t="s">
        <v>79</v>
      </c>
      <c r="K35" s="18" t="s">
        <v>84</v>
      </c>
      <c r="L35" s="18" t="n">
        <v>0</v>
      </c>
      <c r="M35" s="18" t="s">
        <v>92</v>
      </c>
      <c r="N35" s="18" t="n">
        <v>20.21</v>
      </c>
      <c r="O35" s="18" t="n">
        <v>21.6</v>
      </c>
      <c r="P35" s="18" t="s">
        <v>192</v>
      </c>
      <c r="Q35" s="20" t="n">
        <v>10</v>
      </c>
      <c r="R35" s="20" t="s">
        <v>10</v>
      </c>
      <c r="S35" s="18" t="s">
        <v>186</v>
      </c>
    </row>
    <row r="36" customFormat="false" ht="15" hidden="false" customHeight="false" outlineLevel="0" collapsed="false">
      <c r="A36" s="18" t="s">
        <v>206</v>
      </c>
      <c r="B36" s="18" t="s">
        <v>207</v>
      </c>
      <c r="C36" s="18" t="s">
        <v>100</v>
      </c>
      <c r="D36" s="18" t="s">
        <v>204</v>
      </c>
      <c r="E36" s="18" t="s">
        <v>208</v>
      </c>
      <c r="F36" s="18" t="s">
        <v>90</v>
      </c>
      <c r="G36" s="18" t="s">
        <v>93</v>
      </c>
      <c r="H36" s="18" t="s">
        <v>9</v>
      </c>
      <c r="I36" s="18" t="s">
        <v>82</v>
      </c>
      <c r="J36" s="18" t="s">
        <v>79</v>
      </c>
      <c r="K36" s="18" t="s">
        <v>84</v>
      </c>
      <c r="L36" s="18" t="n">
        <v>0</v>
      </c>
      <c r="M36" s="18" t="s">
        <v>92</v>
      </c>
      <c r="N36" s="18" t="n">
        <v>10.88</v>
      </c>
      <c r="O36" s="18" t="n">
        <v>20.9</v>
      </c>
      <c r="P36" s="18" t="s">
        <v>209</v>
      </c>
      <c r="Q36" s="20" t="n">
        <v>10</v>
      </c>
      <c r="R36" s="20" t="s">
        <v>10</v>
      </c>
      <c r="S36" s="18" t="s">
        <v>186</v>
      </c>
    </row>
    <row r="37" customFormat="false" ht="15" hidden="false" customHeight="false" outlineLevel="0" collapsed="false">
      <c r="A37" s="18" t="s">
        <v>87</v>
      </c>
      <c r="B37" s="18" t="s">
        <v>88</v>
      </c>
      <c r="C37" s="18" t="s">
        <v>80</v>
      </c>
      <c r="D37" s="18" t="s">
        <v>74</v>
      </c>
      <c r="E37" s="18" t="s">
        <v>89</v>
      </c>
      <c r="F37" s="18" t="s">
        <v>90</v>
      </c>
      <c r="G37" s="18" t="s">
        <v>93</v>
      </c>
      <c r="H37" s="18" t="s">
        <v>10</v>
      </c>
      <c r="I37" s="18" t="s">
        <v>83</v>
      </c>
      <c r="J37" s="18" t="s">
        <v>79</v>
      </c>
      <c r="K37" s="18" t="s">
        <v>84</v>
      </c>
      <c r="L37" s="18" t="n">
        <v>1</v>
      </c>
      <c r="M37" s="18" t="s">
        <v>92</v>
      </c>
      <c r="N37" s="18" t="n">
        <v>3.11</v>
      </c>
      <c r="O37" s="18" t="n">
        <v>18.2</v>
      </c>
      <c r="P37" s="18" t="s">
        <v>95</v>
      </c>
      <c r="Q37" s="20" t="n">
        <v>10</v>
      </c>
      <c r="R37" s="20" t="s">
        <v>10</v>
      </c>
      <c r="S37" s="18" t="s">
        <v>94</v>
      </c>
    </row>
    <row r="38" customFormat="false" ht="15" hidden="false" customHeight="false" outlineLevel="0" collapsed="false">
      <c r="A38" s="18" t="s">
        <v>214</v>
      </c>
      <c r="B38" s="18" t="s">
        <v>215</v>
      </c>
      <c r="C38" s="18" t="s">
        <v>80</v>
      </c>
      <c r="D38" s="18" t="s">
        <v>216</v>
      </c>
      <c r="E38" s="18" t="s">
        <v>217</v>
      </c>
      <c r="F38" s="18" t="s">
        <v>76</v>
      </c>
      <c r="G38" s="18" t="s">
        <v>82</v>
      </c>
      <c r="H38" s="18" t="s">
        <v>10</v>
      </c>
      <c r="I38" s="18" t="s">
        <v>83</v>
      </c>
      <c r="J38" s="18" t="s">
        <v>79</v>
      </c>
      <c r="K38" s="18" t="s">
        <v>84</v>
      </c>
      <c r="L38" s="18" t="n">
        <v>0</v>
      </c>
      <c r="M38" s="18" t="s">
        <v>78</v>
      </c>
      <c r="N38" s="18" t="n">
        <v>20.25</v>
      </c>
      <c r="O38" s="18" t="n">
        <v>14.9</v>
      </c>
      <c r="P38" s="18" t="s">
        <v>218</v>
      </c>
      <c r="Q38" s="20" t="n">
        <v>10</v>
      </c>
      <c r="R38" s="20" t="s">
        <v>10</v>
      </c>
      <c r="S38" s="18" t="s">
        <v>85</v>
      </c>
    </row>
    <row r="39" customFormat="false" ht="15" hidden="false" customHeight="false" outlineLevel="0" collapsed="false">
      <c r="A39" s="18" t="s">
        <v>307</v>
      </c>
      <c r="B39" s="18" t="s">
        <v>308</v>
      </c>
      <c r="C39" s="18" t="s">
        <v>80</v>
      </c>
      <c r="D39" s="18" t="s">
        <v>309</v>
      </c>
      <c r="E39" s="18" t="s">
        <v>310</v>
      </c>
      <c r="F39" s="18" t="s">
        <v>90</v>
      </c>
      <c r="G39" s="18" t="s">
        <v>93</v>
      </c>
      <c r="H39" s="18" t="s">
        <v>10</v>
      </c>
      <c r="I39" s="18" t="s">
        <v>83</v>
      </c>
      <c r="J39" s="18" t="s">
        <v>79</v>
      </c>
      <c r="K39" s="18" t="s">
        <v>84</v>
      </c>
      <c r="L39" s="18" t="n">
        <v>0</v>
      </c>
      <c r="M39" s="18" t="s">
        <v>170</v>
      </c>
      <c r="N39" s="18" t="n">
        <v>7.76</v>
      </c>
      <c r="O39" s="18" t="n">
        <v>18.5</v>
      </c>
      <c r="P39" s="18" t="s">
        <v>312</v>
      </c>
      <c r="Q39" s="20" t="n">
        <v>0</v>
      </c>
      <c r="R39" s="20" t="s">
        <v>10</v>
      </c>
      <c r="S39" s="18" t="s">
        <v>311</v>
      </c>
    </row>
  </sheetData>
  <autoFilter ref="A3:S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9"/>
    <col collapsed="false" customWidth="true" hidden="false" outlineLevel="0" max="4" min="4" style="0" width="2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26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1" t="s">
        <v>365</v>
      </c>
    </row>
    <row r="3" customFormat="false" ht="31.5" hidden="false" customHeight="true" outlineLevel="0" collapsed="false">
      <c r="A3" s="16" t="s">
        <v>40</v>
      </c>
      <c r="B3" s="16" t="s">
        <v>57</v>
      </c>
      <c r="C3" s="16" t="s">
        <v>54</v>
      </c>
      <c r="D3" s="16" t="s">
        <v>366</v>
      </c>
      <c r="E3" s="16" t="s">
        <v>367</v>
      </c>
      <c r="F3" s="16" t="s">
        <v>368</v>
      </c>
      <c r="H3" s="11" t="s">
        <v>369</v>
      </c>
      <c r="I3" s="15" t="n">
        <f aca="false">AVERAGE(F4:F53)</f>
        <v>3.276</v>
      </c>
    </row>
    <row r="4" customFormat="false" ht="15" hidden="false" customHeight="false" outlineLevel="0" collapsed="false">
      <c r="A4" s="5" t="s">
        <v>71</v>
      </c>
      <c r="B4" s="5" t="s">
        <v>10</v>
      </c>
      <c r="C4" s="5" t="n">
        <v>23.8</v>
      </c>
      <c r="D4" s="5" t="n">
        <v>23</v>
      </c>
      <c r="E4" s="5" t="n">
        <f aca="false">C4-D4</f>
        <v>0.800000000000001</v>
      </c>
      <c r="F4" s="5" t="n">
        <f aca="false">ABS(E4)</f>
        <v>0.800000000000001</v>
      </c>
      <c r="H4" s="11" t="s">
        <v>370</v>
      </c>
      <c r="I4" s="15" t="n">
        <f aca="false">SQRT(SUMPRODUCT(E4:E53,E4:E53)/COUNT(E4:E53))</f>
        <v>3.76042550783818</v>
      </c>
    </row>
    <row r="5" customFormat="false" ht="15" hidden="false" customHeight="false" outlineLevel="0" collapsed="false">
      <c r="A5" s="5" t="s">
        <v>87</v>
      </c>
      <c r="B5" s="5" t="s">
        <v>10</v>
      </c>
      <c r="C5" s="5" t="n">
        <v>18.2</v>
      </c>
      <c r="D5" s="5" t="n">
        <v>16</v>
      </c>
      <c r="E5" s="5" t="n">
        <f aca="false">C5-D5</f>
        <v>2.2</v>
      </c>
      <c r="F5" s="5" t="n">
        <f aca="false">ABS(E5)</f>
        <v>2.2</v>
      </c>
      <c r="H5" s="11" t="s">
        <v>371</v>
      </c>
      <c r="I5" s="15" t="n">
        <f aca="false">AVERAGE(E4:E53)</f>
        <v>0.4</v>
      </c>
    </row>
    <row r="6" customFormat="false" ht="15" hidden="false" customHeight="false" outlineLevel="0" collapsed="false">
      <c r="A6" s="5" t="s">
        <v>96</v>
      </c>
      <c r="B6" s="5" t="s">
        <v>10</v>
      </c>
      <c r="C6" s="5" t="n">
        <v>13.4</v>
      </c>
      <c r="D6" s="5" t="n">
        <v>12</v>
      </c>
      <c r="E6" s="5" t="n">
        <f aca="false">C6-D6</f>
        <v>1.4</v>
      </c>
      <c r="F6" s="5" t="n">
        <f aca="false">ABS(E6)</f>
        <v>1.4</v>
      </c>
      <c r="H6" s="11" t="s">
        <v>372</v>
      </c>
      <c r="I6" s="6" t="n">
        <f aca="false">COUNTIF(F4:F53,"&lt;=5")/COUNT(F4:F53)</f>
        <v>0.88</v>
      </c>
    </row>
    <row r="7" customFormat="false" ht="15" hidden="false" customHeight="false" outlineLevel="0" collapsed="false">
      <c r="A7" s="5" t="s">
        <v>104</v>
      </c>
      <c r="B7" s="5" t="s">
        <v>10</v>
      </c>
      <c r="C7" s="5" t="n">
        <v>22.1</v>
      </c>
      <c r="D7" s="5" t="n">
        <v>20</v>
      </c>
      <c r="E7" s="5" t="n">
        <f aca="false">C7-D7</f>
        <v>2.1</v>
      </c>
      <c r="F7" s="5" t="n">
        <f aca="false">ABS(E7)</f>
        <v>2.1</v>
      </c>
    </row>
    <row r="8" customFormat="false" ht="15" hidden="false" customHeight="false" outlineLevel="0" collapsed="false">
      <c r="A8" s="5" t="s">
        <v>110</v>
      </c>
      <c r="B8" s="5" t="s">
        <v>9</v>
      </c>
      <c r="C8" s="5" t="n">
        <v>24.6</v>
      </c>
      <c r="D8" s="5" t="n">
        <v>26</v>
      </c>
      <c r="E8" s="5" t="n">
        <f aca="false">C8-D8</f>
        <v>-1.4</v>
      </c>
      <c r="F8" s="5" t="n">
        <f aca="false">ABS(E8)</f>
        <v>1.4</v>
      </c>
    </row>
    <row r="9" customFormat="false" ht="15" hidden="false" customHeight="false" outlineLevel="0" collapsed="false">
      <c r="A9" s="5" t="s">
        <v>116</v>
      </c>
      <c r="B9" s="5" t="s">
        <v>10</v>
      </c>
      <c r="C9" s="5" t="n">
        <v>25.1</v>
      </c>
      <c r="D9" s="5" t="n">
        <v>29</v>
      </c>
      <c r="E9" s="5" t="n">
        <f aca="false">C9-D9</f>
        <v>-3.9</v>
      </c>
      <c r="F9" s="5" t="n">
        <f aca="false">ABS(E9)</f>
        <v>3.9</v>
      </c>
    </row>
    <row r="10" customFormat="false" ht="15" hidden="false" customHeight="false" outlineLevel="0" collapsed="false">
      <c r="A10" s="5" t="s">
        <v>121</v>
      </c>
      <c r="B10" s="5" t="s">
        <v>9</v>
      </c>
      <c r="C10" s="5" t="n">
        <v>23.8</v>
      </c>
      <c r="D10" s="5" t="n">
        <v>22</v>
      </c>
      <c r="E10" s="5" t="n">
        <f aca="false">C10-D10</f>
        <v>1.8</v>
      </c>
      <c r="F10" s="5" t="n">
        <f aca="false">ABS(E10)</f>
        <v>1.8</v>
      </c>
    </row>
    <row r="11" customFormat="false" ht="15" hidden="false" customHeight="false" outlineLevel="0" collapsed="false">
      <c r="A11" s="5" t="s">
        <v>126</v>
      </c>
      <c r="B11" s="5" t="s">
        <v>8</v>
      </c>
      <c r="C11" s="5" t="n">
        <v>28.6</v>
      </c>
      <c r="D11" s="5" t="n">
        <v>27</v>
      </c>
      <c r="E11" s="5" t="n">
        <f aca="false">C11-D11</f>
        <v>1.6</v>
      </c>
      <c r="F11" s="5" t="n">
        <f aca="false">ABS(E11)</f>
        <v>1.6</v>
      </c>
    </row>
    <row r="12" customFormat="false" ht="15" hidden="false" customHeight="false" outlineLevel="0" collapsed="false">
      <c r="A12" s="5" t="s">
        <v>134</v>
      </c>
      <c r="B12" s="5" t="s">
        <v>9</v>
      </c>
      <c r="C12" s="5" t="n">
        <v>26.7</v>
      </c>
      <c r="D12" s="5" t="n">
        <v>23</v>
      </c>
      <c r="E12" s="5" t="n">
        <f aca="false">C12-D12</f>
        <v>3.7</v>
      </c>
      <c r="F12" s="5" t="n">
        <f aca="false">ABS(E12)</f>
        <v>3.7</v>
      </c>
    </row>
    <row r="13" customFormat="false" ht="15" hidden="false" customHeight="false" outlineLevel="0" collapsed="false">
      <c r="A13" s="5" t="s">
        <v>141</v>
      </c>
      <c r="B13" s="5" t="s">
        <v>8</v>
      </c>
      <c r="C13" s="5" t="n">
        <v>51.8</v>
      </c>
      <c r="D13" s="5" t="n">
        <v>54</v>
      </c>
      <c r="E13" s="5" t="n">
        <f aca="false">C13-D13</f>
        <v>-2.2</v>
      </c>
      <c r="F13" s="5" t="n">
        <f aca="false">ABS(E13)</f>
        <v>2.2</v>
      </c>
    </row>
    <row r="14" customFormat="false" ht="15" hidden="false" customHeight="false" outlineLevel="0" collapsed="false">
      <c r="A14" s="5" t="s">
        <v>148</v>
      </c>
      <c r="B14" s="5" t="s">
        <v>9</v>
      </c>
      <c r="C14" s="5" t="n">
        <v>17.4</v>
      </c>
      <c r="D14" s="5" t="n">
        <v>17</v>
      </c>
      <c r="E14" s="5" t="n">
        <f aca="false">C14-D14</f>
        <v>0.399999999999999</v>
      </c>
      <c r="F14" s="5" t="n">
        <f aca="false">ABS(E14)</f>
        <v>0.399999999999999</v>
      </c>
    </row>
    <row r="15" customFormat="false" ht="15" hidden="false" customHeight="false" outlineLevel="0" collapsed="false">
      <c r="A15" s="5" t="s">
        <v>154</v>
      </c>
      <c r="B15" s="5" t="s">
        <v>10</v>
      </c>
      <c r="C15" s="5" t="n">
        <v>30.4</v>
      </c>
      <c r="D15" s="5" t="n">
        <v>35</v>
      </c>
      <c r="E15" s="5" t="n">
        <f aca="false">C15-D15</f>
        <v>-4.6</v>
      </c>
      <c r="F15" s="5" t="n">
        <f aca="false">ABS(E15)</f>
        <v>4.6</v>
      </c>
    </row>
    <row r="16" customFormat="false" ht="15" hidden="false" customHeight="false" outlineLevel="0" collapsed="false">
      <c r="A16" s="5" t="s">
        <v>160</v>
      </c>
      <c r="B16" s="5" t="s">
        <v>9</v>
      </c>
      <c r="C16" s="5" t="n">
        <v>23</v>
      </c>
      <c r="D16" s="5" t="n">
        <v>17</v>
      </c>
      <c r="E16" s="5" t="n">
        <f aca="false">C16-D16</f>
        <v>6</v>
      </c>
      <c r="F16" s="5" t="n">
        <f aca="false">ABS(E16)</f>
        <v>6</v>
      </c>
    </row>
    <row r="17" customFormat="false" ht="15" hidden="false" customHeight="false" outlineLevel="0" collapsed="false">
      <c r="A17" s="5" t="s">
        <v>166</v>
      </c>
      <c r="B17" s="5" t="s">
        <v>9</v>
      </c>
      <c r="C17" s="5" t="n">
        <v>17.7</v>
      </c>
      <c r="D17" s="5" t="n">
        <v>19</v>
      </c>
      <c r="E17" s="5" t="n">
        <f aca="false">C17-D17</f>
        <v>-1.3</v>
      </c>
      <c r="F17" s="5" t="n">
        <f aca="false">ABS(E17)</f>
        <v>1.3</v>
      </c>
    </row>
    <row r="18" customFormat="false" ht="15" hidden="false" customHeight="false" outlineLevel="0" collapsed="false">
      <c r="A18" s="5" t="s">
        <v>173</v>
      </c>
      <c r="B18" s="5" t="s">
        <v>9</v>
      </c>
      <c r="C18" s="5" t="n">
        <v>34.6</v>
      </c>
      <c r="D18" s="5" t="n">
        <v>31</v>
      </c>
      <c r="E18" s="5" t="n">
        <f aca="false">C18-D18</f>
        <v>3.6</v>
      </c>
      <c r="F18" s="5" t="n">
        <f aca="false">ABS(E18)</f>
        <v>3.6</v>
      </c>
    </row>
    <row r="19" customFormat="false" ht="15" hidden="false" customHeight="false" outlineLevel="0" collapsed="false">
      <c r="A19" s="5" t="s">
        <v>178</v>
      </c>
      <c r="B19" s="5" t="s">
        <v>9</v>
      </c>
      <c r="C19" s="5" t="n">
        <v>16.5</v>
      </c>
      <c r="D19" s="5" t="n">
        <v>19</v>
      </c>
      <c r="E19" s="5" t="n">
        <f aca="false">C19-D19</f>
        <v>-2.5</v>
      </c>
      <c r="F19" s="5" t="n">
        <f aca="false">ABS(E19)</f>
        <v>2.5</v>
      </c>
    </row>
    <row r="20" customFormat="false" ht="15" hidden="false" customHeight="false" outlineLevel="0" collapsed="false">
      <c r="A20" s="5" t="s">
        <v>182</v>
      </c>
      <c r="B20" s="5" t="s">
        <v>10</v>
      </c>
      <c r="C20" s="5" t="n">
        <v>38.2</v>
      </c>
      <c r="D20" s="5" t="n">
        <v>34</v>
      </c>
      <c r="E20" s="5" t="n">
        <f aca="false">C20-D20</f>
        <v>4.2</v>
      </c>
      <c r="F20" s="5" t="n">
        <f aca="false">ABS(E20)</f>
        <v>4.2</v>
      </c>
    </row>
    <row r="21" customFormat="false" ht="15" hidden="false" customHeight="false" outlineLevel="0" collapsed="false">
      <c r="A21" s="5" t="s">
        <v>188</v>
      </c>
      <c r="B21" s="5" t="s">
        <v>10</v>
      </c>
      <c r="C21" s="5" t="n">
        <v>21.6</v>
      </c>
      <c r="D21" s="5" t="n">
        <v>17</v>
      </c>
      <c r="E21" s="5" t="n">
        <f aca="false">C21-D21</f>
        <v>4.6</v>
      </c>
      <c r="F21" s="5" t="n">
        <f aca="false">ABS(E21)</f>
        <v>4.6</v>
      </c>
    </row>
    <row r="22" customFormat="false" ht="15" hidden="false" customHeight="false" outlineLevel="0" collapsed="false">
      <c r="A22" s="5" t="s">
        <v>193</v>
      </c>
      <c r="B22" s="5" t="s">
        <v>9</v>
      </c>
      <c r="C22" s="5" t="n">
        <v>17.2</v>
      </c>
      <c r="D22" s="5" t="n">
        <v>18</v>
      </c>
      <c r="E22" s="5" t="n">
        <f aca="false">C22-D22</f>
        <v>-0.800000000000001</v>
      </c>
      <c r="F22" s="5" t="n">
        <f aca="false">ABS(E22)</f>
        <v>0.800000000000001</v>
      </c>
    </row>
    <row r="23" customFormat="false" ht="15" hidden="false" customHeight="false" outlineLevel="0" collapsed="false">
      <c r="A23" s="5" t="s">
        <v>197</v>
      </c>
      <c r="B23" s="5" t="s">
        <v>9</v>
      </c>
      <c r="C23" s="5" t="n">
        <v>14.3</v>
      </c>
      <c r="D23" s="5" t="n">
        <v>12</v>
      </c>
      <c r="E23" s="5" t="n">
        <f aca="false">C23-D23</f>
        <v>2.3</v>
      </c>
      <c r="F23" s="5" t="n">
        <f aca="false">ABS(E23)</f>
        <v>2.3</v>
      </c>
    </row>
    <row r="24" customFormat="false" ht="15" hidden="false" customHeight="false" outlineLevel="0" collapsed="false">
      <c r="A24" s="5" t="s">
        <v>202</v>
      </c>
      <c r="B24" s="5" t="s">
        <v>10</v>
      </c>
      <c r="C24" s="5" t="n">
        <v>19.5</v>
      </c>
      <c r="D24" s="5" t="n">
        <v>24</v>
      </c>
      <c r="E24" s="5" t="n">
        <f aca="false">C24-D24</f>
        <v>-4.5</v>
      </c>
      <c r="F24" s="5" t="n">
        <f aca="false">ABS(E24)</f>
        <v>4.5</v>
      </c>
    </row>
    <row r="25" customFormat="false" ht="15" hidden="false" customHeight="false" outlineLevel="0" collapsed="false">
      <c r="A25" s="5" t="s">
        <v>206</v>
      </c>
      <c r="B25" s="5" t="s">
        <v>10</v>
      </c>
      <c r="C25" s="5" t="n">
        <v>20.9</v>
      </c>
      <c r="D25" s="5" t="n">
        <v>16</v>
      </c>
      <c r="E25" s="5" t="n">
        <f aca="false">C25-D25</f>
        <v>4.9</v>
      </c>
      <c r="F25" s="5" t="n">
        <f aca="false">ABS(E25)</f>
        <v>4.9</v>
      </c>
    </row>
    <row r="26" customFormat="false" ht="15" hidden="false" customHeight="false" outlineLevel="0" collapsed="false">
      <c r="A26" s="5" t="s">
        <v>210</v>
      </c>
      <c r="B26" s="5" t="s">
        <v>9</v>
      </c>
      <c r="C26" s="5" t="n">
        <v>14.3</v>
      </c>
      <c r="D26" s="5" t="n">
        <v>10</v>
      </c>
      <c r="E26" s="5" t="n">
        <f aca="false">C26-D26</f>
        <v>4.3</v>
      </c>
      <c r="F26" s="5" t="n">
        <f aca="false">ABS(E26)</f>
        <v>4.3</v>
      </c>
    </row>
    <row r="27" customFormat="false" ht="15" hidden="false" customHeight="false" outlineLevel="0" collapsed="false">
      <c r="A27" s="5" t="s">
        <v>214</v>
      </c>
      <c r="B27" s="5" t="s">
        <v>10</v>
      </c>
      <c r="C27" s="5" t="n">
        <v>14.9</v>
      </c>
      <c r="D27" s="5" t="n">
        <v>18</v>
      </c>
      <c r="E27" s="5" t="n">
        <f aca="false">C27-D27</f>
        <v>-3.1</v>
      </c>
      <c r="F27" s="5" t="n">
        <f aca="false">ABS(E27)</f>
        <v>3.1</v>
      </c>
    </row>
    <row r="28" customFormat="false" ht="15" hidden="false" customHeight="false" outlineLevel="0" collapsed="false">
      <c r="A28" s="5" t="s">
        <v>219</v>
      </c>
      <c r="B28" s="5" t="s">
        <v>9</v>
      </c>
      <c r="C28" s="5" t="n">
        <v>15</v>
      </c>
      <c r="D28" s="5" t="n">
        <v>12</v>
      </c>
      <c r="E28" s="5" t="n">
        <f aca="false">C28-D28</f>
        <v>3</v>
      </c>
      <c r="F28" s="5" t="n">
        <f aca="false">ABS(E28)</f>
        <v>3</v>
      </c>
    </row>
    <row r="29" customFormat="false" ht="15" hidden="false" customHeight="false" outlineLevel="0" collapsed="false">
      <c r="A29" s="5" t="s">
        <v>224</v>
      </c>
      <c r="B29" s="5" t="s">
        <v>8</v>
      </c>
      <c r="C29" s="5" t="n">
        <v>35.4</v>
      </c>
      <c r="D29" s="5" t="n">
        <v>30</v>
      </c>
      <c r="E29" s="5" t="n">
        <f aca="false">C29-D29</f>
        <v>5.4</v>
      </c>
      <c r="F29" s="5" t="n">
        <f aca="false">ABS(E29)</f>
        <v>5.4</v>
      </c>
    </row>
    <row r="30" customFormat="false" ht="15" hidden="false" customHeight="false" outlineLevel="0" collapsed="false">
      <c r="A30" s="5" t="s">
        <v>232</v>
      </c>
      <c r="B30" s="5" t="s">
        <v>8</v>
      </c>
      <c r="C30" s="5" t="n">
        <v>19.1</v>
      </c>
      <c r="D30" s="5" t="n">
        <v>12</v>
      </c>
      <c r="E30" s="5" t="n">
        <f aca="false">C30-D30</f>
        <v>7.1</v>
      </c>
      <c r="F30" s="5" t="n">
        <f aca="false">ABS(E30)</f>
        <v>7.1</v>
      </c>
    </row>
    <row r="31" customFormat="false" ht="15" hidden="false" customHeight="false" outlineLevel="0" collapsed="false">
      <c r="A31" s="5" t="s">
        <v>238</v>
      </c>
      <c r="B31" s="5" t="s">
        <v>9</v>
      </c>
      <c r="C31" s="5" t="n">
        <v>18.5</v>
      </c>
      <c r="D31" s="5" t="n">
        <v>18</v>
      </c>
      <c r="E31" s="5" t="n">
        <f aca="false">C31-D31</f>
        <v>0.5</v>
      </c>
      <c r="F31" s="5" t="n">
        <f aca="false">ABS(E31)</f>
        <v>0.5</v>
      </c>
    </row>
    <row r="32" customFormat="false" ht="15" hidden="false" customHeight="false" outlineLevel="0" collapsed="false">
      <c r="A32" s="5" t="s">
        <v>243</v>
      </c>
      <c r="B32" s="5" t="s">
        <v>8</v>
      </c>
      <c r="C32" s="5" t="n">
        <v>32.5</v>
      </c>
      <c r="D32" s="5" t="n">
        <v>36</v>
      </c>
      <c r="E32" s="5" t="n">
        <f aca="false">C32-D32</f>
        <v>-3.5</v>
      </c>
      <c r="F32" s="5" t="n">
        <f aca="false">ABS(E32)</f>
        <v>3.5</v>
      </c>
    </row>
    <row r="33" customFormat="false" ht="15" hidden="false" customHeight="false" outlineLevel="0" collapsed="false">
      <c r="A33" s="5" t="s">
        <v>249</v>
      </c>
      <c r="B33" s="5" t="s">
        <v>9</v>
      </c>
      <c r="C33" s="5" t="n">
        <v>21.6</v>
      </c>
      <c r="D33" s="5" t="n">
        <v>17</v>
      </c>
      <c r="E33" s="5" t="n">
        <f aca="false">C33-D33</f>
        <v>4.6</v>
      </c>
      <c r="F33" s="5" t="n">
        <f aca="false">ABS(E33)</f>
        <v>4.6</v>
      </c>
    </row>
    <row r="34" customFormat="false" ht="15" hidden="false" customHeight="false" outlineLevel="0" collapsed="false">
      <c r="A34" s="5" t="s">
        <v>254</v>
      </c>
      <c r="B34" s="5" t="s">
        <v>8</v>
      </c>
      <c r="C34" s="5" t="n">
        <v>40.8</v>
      </c>
      <c r="D34" s="5" t="n">
        <v>40</v>
      </c>
      <c r="E34" s="5" t="n">
        <f aca="false">C34-D34</f>
        <v>0.799999999999997</v>
      </c>
      <c r="F34" s="5" t="n">
        <f aca="false">ABS(E34)</f>
        <v>0.799999999999997</v>
      </c>
    </row>
    <row r="35" customFormat="false" ht="15" hidden="false" customHeight="false" outlineLevel="0" collapsed="false">
      <c r="A35" s="5" t="s">
        <v>258</v>
      </c>
      <c r="B35" s="5" t="s">
        <v>8</v>
      </c>
      <c r="C35" s="5" t="n">
        <v>37.6</v>
      </c>
      <c r="D35" s="5" t="n">
        <v>42</v>
      </c>
      <c r="E35" s="5" t="n">
        <f aca="false">C35-D35</f>
        <v>-4.4</v>
      </c>
      <c r="F35" s="5" t="n">
        <f aca="false">ABS(E35)</f>
        <v>4.4</v>
      </c>
    </row>
    <row r="36" customFormat="false" ht="15" hidden="false" customHeight="false" outlineLevel="0" collapsed="false">
      <c r="A36" s="5" t="s">
        <v>264</v>
      </c>
      <c r="B36" s="5" t="s">
        <v>8</v>
      </c>
      <c r="C36" s="5" t="n">
        <v>20.8</v>
      </c>
      <c r="D36" s="5" t="n">
        <v>16</v>
      </c>
      <c r="E36" s="5" t="n">
        <f aca="false">C36-D36</f>
        <v>4.8</v>
      </c>
      <c r="F36" s="5" t="n">
        <f aca="false">ABS(E36)</f>
        <v>4.8</v>
      </c>
    </row>
    <row r="37" customFormat="false" ht="15" hidden="false" customHeight="false" outlineLevel="0" collapsed="false">
      <c r="A37" s="5" t="s">
        <v>269</v>
      </c>
      <c r="B37" s="5" t="s">
        <v>8</v>
      </c>
      <c r="C37" s="5" t="n">
        <v>22.8</v>
      </c>
      <c r="D37" s="5" t="n">
        <v>19</v>
      </c>
      <c r="E37" s="5" t="n">
        <f aca="false">C37-D37</f>
        <v>3.8</v>
      </c>
      <c r="F37" s="5" t="n">
        <f aca="false">ABS(E37)</f>
        <v>3.8</v>
      </c>
    </row>
    <row r="38" customFormat="false" ht="15" hidden="false" customHeight="false" outlineLevel="0" collapsed="false">
      <c r="A38" s="5" t="s">
        <v>274</v>
      </c>
      <c r="B38" s="5" t="s">
        <v>8</v>
      </c>
      <c r="C38" s="5" t="n">
        <v>36.8</v>
      </c>
      <c r="D38" s="5" t="n">
        <v>44</v>
      </c>
      <c r="E38" s="5" t="n">
        <f aca="false">C38-D38</f>
        <v>-7.2</v>
      </c>
      <c r="F38" s="5" t="n">
        <f aca="false">ABS(E38)</f>
        <v>7.2</v>
      </c>
    </row>
    <row r="39" customFormat="false" ht="15" hidden="false" customHeight="false" outlineLevel="0" collapsed="false">
      <c r="A39" s="5" t="s">
        <v>277</v>
      </c>
      <c r="B39" s="5" t="s">
        <v>8</v>
      </c>
      <c r="C39" s="5" t="n">
        <v>27.8</v>
      </c>
      <c r="D39" s="5" t="n">
        <v>29</v>
      </c>
      <c r="E39" s="5" t="n">
        <f aca="false">C39-D39</f>
        <v>-1.2</v>
      </c>
      <c r="F39" s="5" t="n">
        <f aca="false">ABS(E39)</f>
        <v>1.2</v>
      </c>
    </row>
    <row r="40" customFormat="false" ht="15" hidden="false" customHeight="false" outlineLevel="0" collapsed="false">
      <c r="A40" s="5" t="s">
        <v>281</v>
      </c>
      <c r="B40" s="5" t="s">
        <v>9</v>
      </c>
      <c r="C40" s="5" t="n">
        <v>22.4</v>
      </c>
      <c r="D40" s="5" t="n">
        <v>15</v>
      </c>
      <c r="E40" s="5" t="n">
        <f aca="false">C40-D40</f>
        <v>7.4</v>
      </c>
      <c r="F40" s="5" t="n">
        <f aca="false">ABS(E40)</f>
        <v>7.4</v>
      </c>
    </row>
    <row r="41" customFormat="false" ht="15" hidden="false" customHeight="false" outlineLevel="0" collapsed="false">
      <c r="A41" s="5" t="s">
        <v>284</v>
      </c>
      <c r="B41" s="5" t="s">
        <v>9</v>
      </c>
      <c r="C41" s="5" t="n">
        <v>29.8</v>
      </c>
      <c r="D41" s="5" t="n">
        <v>37</v>
      </c>
      <c r="E41" s="5" t="n">
        <f aca="false">C41-D41</f>
        <v>-7.2</v>
      </c>
      <c r="F41" s="5" t="n">
        <f aca="false">ABS(E41)</f>
        <v>7.2</v>
      </c>
    </row>
    <row r="42" customFormat="false" ht="15" hidden="false" customHeight="false" outlineLevel="0" collapsed="false">
      <c r="A42" s="5" t="s">
        <v>289</v>
      </c>
      <c r="B42" s="5" t="s">
        <v>8</v>
      </c>
      <c r="C42" s="5" t="n">
        <v>37</v>
      </c>
      <c r="D42" s="5" t="n">
        <v>41</v>
      </c>
      <c r="E42" s="5" t="n">
        <f aca="false">C42-D42</f>
        <v>-4</v>
      </c>
      <c r="F42" s="5" t="n">
        <f aca="false">ABS(E42)</f>
        <v>4</v>
      </c>
    </row>
    <row r="43" customFormat="false" ht="15" hidden="false" customHeight="false" outlineLevel="0" collapsed="false">
      <c r="A43" s="5" t="s">
        <v>293</v>
      </c>
      <c r="B43" s="5" t="s">
        <v>8</v>
      </c>
      <c r="C43" s="5" t="n">
        <v>39.7</v>
      </c>
      <c r="D43" s="5" t="n">
        <v>37</v>
      </c>
      <c r="E43" s="5" t="n">
        <f aca="false">C43-D43</f>
        <v>2.7</v>
      </c>
      <c r="F43" s="5" t="n">
        <f aca="false">ABS(E43)</f>
        <v>2.7</v>
      </c>
    </row>
    <row r="44" customFormat="false" ht="15" hidden="false" customHeight="false" outlineLevel="0" collapsed="false">
      <c r="A44" s="5" t="s">
        <v>298</v>
      </c>
      <c r="B44" s="5" t="s">
        <v>8</v>
      </c>
      <c r="C44" s="5" t="n">
        <v>26.9</v>
      </c>
      <c r="D44" s="5" t="n">
        <v>28</v>
      </c>
      <c r="E44" s="5" t="n">
        <f aca="false">C44-D44</f>
        <v>-1.1</v>
      </c>
      <c r="F44" s="5" t="n">
        <f aca="false">ABS(E44)</f>
        <v>1.1</v>
      </c>
    </row>
    <row r="45" customFormat="false" ht="15" hidden="false" customHeight="false" outlineLevel="0" collapsed="false">
      <c r="A45" s="5" t="s">
        <v>302</v>
      </c>
      <c r="B45" s="5" t="s">
        <v>9</v>
      </c>
      <c r="C45" s="5" t="n">
        <v>23.2</v>
      </c>
      <c r="D45" s="5" t="n">
        <v>21</v>
      </c>
      <c r="E45" s="5" t="n">
        <f aca="false">C45-D45</f>
        <v>2.2</v>
      </c>
      <c r="F45" s="5" t="n">
        <f aca="false">ABS(E45)</f>
        <v>2.2</v>
      </c>
    </row>
    <row r="46" customFormat="false" ht="15" hidden="false" customHeight="false" outlineLevel="0" collapsed="false">
      <c r="A46" s="5" t="s">
        <v>307</v>
      </c>
      <c r="B46" s="5" t="s">
        <v>10</v>
      </c>
      <c r="C46" s="5" t="n">
        <v>18.5</v>
      </c>
      <c r="D46" s="5" t="n">
        <v>22</v>
      </c>
      <c r="E46" s="5" t="n">
        <f aca="false">C46-D46</f>
        <v>-3.5</v>
      </c>
      <c r="F46" s="5" t="n">
        <f aca="false">ABS(E46)</f>
        <v>3.5</v>
      </c>
    </row>
    <row r="47" customFormat="false" ht="15" hidden="false" customHeight="false" outlineLevel="0" collapsed="false">
      <c r="A47" s="5" t="s">
        <v>313</v>
      </c>
      <c r="B47" s="5" t="s">
        <v>9</v>
      </c>
      <c r="C47" s="5" t="n">
        <v>15.7</v>
      </c>
      <c r="D47" s="5" t="n">
        <v>16</v>
      </c>
      <c r="E47" s="5" t="n">
        <f aca="false">C47-D47</f>
        <v>-0.300000000000001</v>
      </c>
      <c r="F47" s="5" t="n">
        <f aca="false">ABS(E47)</f>
        <v>0.300000000000001</v>
      </c>
    </row>
    <row r="48" customFormat="false" ht="15" hidden="false" customHeight="false" outlineLevel="0" collapsed="false">
      <c r="A48" s="5" t="s">
        <v>318</v>
      </c>
      <c r="B48" s="5" t="s">
        <v>9</v>
      </c>
      <c r="C48" s="5" t="n">
        <v>36.8</v>
      </c>
      <c r="D48" s="5" t="n">
        <v>40</v>
      </c>
      <c r="E48" s="5" t="n">
        <f aca="false">C48-D48</f>
        <v>-3.2</v>
      </c>
      <c r="F48" s="5" t="n">
        <f aca="false">ABS(E48)</f>
        <v>3.2</v>
      </c>
    </row>
    <row r="49" customFormat="false" ht="15" hidden="false" customHeight="false" outlineLevel="0" collapsed="false">
      <c r="A49" s="5" t="s">
        <v>322</v>
      </c>
      <c r="B49" s="5" t="s">
        <v>9</v>
      </c>
      <c r="C49" s="5" t="n">
        <v>14.5</v>
      </c>
      <c r="D49" s="5" t="n">
        <v>19</v>
      </c>
      <c r="E49" s="5" t="n">
        <f aca="false">C49-D49</f>
        <v>-4.5</v>
      </c>
      <c r="F49" s="5" t="n">
        <f aca="false">ABS(E49)</f>
        <v>4.5</v>
      </c>
    </row>
    <row r="50" customFormat="false" ht="15" hidden="false" customHeight="false" outlineLevel="0" collapsed="false">
      <c r="A50" s="5" t="s">
        <v>325</v>
      </c>
      <c r="B50" s="5" t="s">
        <v>9</v>
      </c>
      <c r="C50" s="5" t="n">
        <v>40</v>
      </c>
      <c r="D50" s="5" t="n">
        <v>43</v>
      </c>
      <c r="E50" s="5" t="n">
        <f aca="false">C50-D50</f>
        <v>-3</v>
      </c>
      <c r="F50" s="5" t="n">
        <f aca="false">ABS(E50)</f>
        <v>3</v>
      </c>
    </row>
    <row r="51" customFormat="false" ht="15" hidden="false" customHeight="false" outlineLevel="0" collapsed="false">
      <c r="A51" s="5" t="s">
        <v>329</v>
      </c>
      <c r="B51" s="5" t="s">
        <v>10</v>
      </c>
      <c r="C51" s="5" t="n">
        <v>24.6</v>
      </c>
      <c r="D51" s="5" t="n">
        <v>21</v>
      </c>
      <c r="E51" s="5" t="n">
        <f aca="false">C51-D51</f>
        <v>3.6</v>
      </c>
      <c r="F51" s="5" t="n">
        <f aca="false">ABS(E51)</f>
        <v>3.6</v>
      </c>
    </row>
    <row r="52" customFormat="false" ht="15" hidden="false" customHeight="false" outlineLevel="0" collapsed="false">
      <c r="A52" s="5" t="s">
        <v>334</v>
      </c>
      <c r="B52" s="5" t="s">
        <v>10</v>
      </c>
      <c r="C52" s="5" t="n">
        <v>14.5</v>
      </c>
      <c r="D52" s="5" t="n">
        <v>19</v>
      </c>
      <c r="E52" s="5" t="n">
        <f aca="false">C52-D52</f>
        <v>-4.5</v>
      </c>
      <c r="F52" s="5" t="n">
        <f aca="false">ABS(E52)</f>
        <v>4.5</v>
      </c>
    </row>
    <row r="53" customFormat="false" ht="15" hidden="false" customHeight="false" outlineLevel="0" collapsed="false">
      <c r="A53" s="5" t="s">
        <v>339</v>
      </c>
      <c r="B53" s="5" t="s">
        <v>9</v>
      </c>
      <c r="C53" s="5" t="n">
        <v>16.1</v>
      </c>
      <c r="D53" s="5" t="n">
        <v>14</v>
      </c>
      <c r="E53" s="5" t="n">
        <f aca="false">C53-D53</f>
        <v>2.1</v>
      </c>
      <c r="F53" s="5" t="n">
        <f aca="false">ABS(E53)</f>
        <v>2.1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2026-09-26T05:04:15Z</dcterms:created>
  <dc:creator>openpyxl</dc:creator>
  <dc:description/>
  <dc:language>en-US</dc:language>
  <cp:lastModifiedBy/>
  <dcterms:modified xsi:type="dcterms:W3CDTF">2026-09-26T05:04:15Z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